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omments2.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RISHAV\Excel-work\"/>
    </mc:Choice>
  </mc:AlternateContent>
  <bookViews>
    <workbookView xWindow="0" yWindow="0" windowWidth="19200" windowHeight="7190" firstSheet="7" activeTab="10"/>
  </bookViews>
  <sheets>
    <sheet name="Sheet1" sheetId="1" r:id="rId1"/>
    <sheet name="Sheet2" sheetId="2" r:id="rId2"/>
    <sheet name="Sheet3" sheetId="3" r:id="rId3"/>
    <sheet name="RNM_School_Data" sheetId="4" r:id="rId4"/>
    <sheet name="RNM_school" sheetId="6" r:id="rId5"/>
    <sheet name="Names" sheetId="7" r:id="rId6"/>
    <sheet name="dropdown" sheetId="8" r:id="rId7"/>
    <sheet name="split_text" sheetId="9" r:id="rId8"/>
    <sheet name="Charts" sheetId="10" r:id="rId9"/>
    <sheet name="vlookup" sheetId="11" r:id="rId10"/>
    <sheet name="pivot_report" sheetId="15" r:id="rId11"/>
    <sheet name="pivot_table" sheetId="12" r:id="rId12"/>
  </sheets>
  <definedNames>
    <definedName name="_xlnm._FilterDatabase" localSheetId="4" hidden="1">RNM_school!$A$3:$I$17</definedName>
    <definedName name="_xlnm._FilterDatabase" localSheetId="0" hidden="1">Sheet1!$A$4:$J$9</definedName>
    <definedName name="Slicer_House">#N/A</definedName>
  </definedNames>
  <calcPr calcId="152511"/>
  <pivotCaches>
    <pivotCache cacheId="62" r:id="rId13"/>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4" i="11" l="1"/>
  <c r="I17" i="11"/>
  <c r="I16" i="11"/>
  <c r="I15" i="11"/>
  <c r="I13" i="11"/>
  <c r="I12" i="11"/>
  <c r="I11" i="11"/>
  <c r="I10" i="11"/>
  <c r="I9" i="11"/>
  <c r="I8" i="11"/>
  <c r="I7" i="11"/>
  <c r="I6" i="11"/>
  <c r="I5" i="11"/>
  <c r="I4" i="11"/>
  <c r="I3" i="4"/>
  <c r="I4" i="4"/>
  <c r="I5" i="4"/>
  <c r="I6" i="4"/>
  <c r="I7" i="4"/>
  <c r="I8" i="4"/>
  <c r="I9" i="4"/>
  <c r="I10" i="4"/>
  <c r="I11" i="4"/>
  <c r="I12" i="4"/>
  <c r="I13" i="4"/>
  <c r="I14" i="4"/>
  <c r="I15" i="4"/>
  <c r="I16" i="4"/>
  <c r="I17" i="6"/>
  <c r="I16" i="6"/>
  <c r="I15" i="6"/>
  <c r="I14" i="6"/>
  <c r="I13" i="6"/>
  <c r="I12" i="6"/>
  <c r="I11" i="6"/>
  <c r="I10" i="6"/>
  <c r="I9" i="6"/>
  <c r="I8" i="6"/>
  <c r="I7" i="6"/>
  <c r="I6" i="6"/>
  <c r="I5" i="6"/>
  <c r="I4" i="6"/>
  <c r="D3" i="2" l="1"/>
  <c r="D4" i="2"/>
  <c r="D5" i="2"/>
  <c r="D6" i="2"/>
  <c r="D2" i="2"/>
  <c r="C3" i="2"/>
  <c r="C4" i="2"/>
  <c r="C5" i="2"/>
  <c r="C6" i="2"/>
  <c r="C2" i="2"/>
  <c r="B3" i="2"/>
  <c r="B4" i="2"/>
  <c r="B5" i="2"/>
  <c r="B6" i="2"/>
  <c r="B2" i="2"/>
  <c r="J6" i="1"/>
  <c r="J7" i="1"/>
  <c r="J8" i="1"/>
  <c r="J9" i="1"/>
  <c r="J5" i="1"/>
  <c r="I6" i="1"/>
  <c r="I7" i="1"/>
  <c r="I8" i="1"/>
  <c r="I9" i="1"/>
  <c r="I5" i="1"/>
  <c r="H6" i="1"/>
  <c r="H7" i="1"/>
  <c r="H8" i="1"/>
  <c r="H9" i="1"/>
  <c r="H5" i="1" l="1"/>
</calcChain>
</file>

<file path=xl/comments1.xml><?xml version="1.0" encoding="utf-8"?>
<comments xmlns="http://schemas.openxmlformats.org/spreadsheetml/2006/main">
  <authors>
    <author>RISHAV</author>
  </authors>
  <commentList>
    <comment ref="I10" authorId="0" shapeId="0">
      <text>
        <r>
          <rPr>
            <b/>
            <sz val="9"/>
            <color indexed="81"/>
            <rFont val="Tahoma"/>
            <family val="2"/>
          </rPr>
          <t>RISHAV:</t>
        </r>
        <r>
          <rPr>
            <sz val="9"/>
            <color indexed="81"/>
            <rFont val="Tahoma"/>
            <family val="2"/>
          </rPr>
          <t xml:space="preserve">
</t>
        </r>
        <r>
          <rPr>
            <b/>
            <sz val="10"/>
            <color indexed="81"/>
            <rFont val="Calibri"/>
            <family val="2"/>
            <scheme val="minor"/>
          </rPr>
          <t>Mail id is not valid</t>
        </r>
      </text>
    </comment>
  </commentList>
</comments>
</file>

<file path=xl/comments2.xml><?xml version="1.0" encoding="utf-8"?>
<comments xmlns="http://schemas.openxmlformats.org/spreadsheetml/2006/main">
  <authors>
    <author>RISHAV</author>
  </authors>
  <commentList>
    <comment ref="I11" authorId="0" shapeId="0">
      <text>
        <r>
          <rPr>
            <b/>
            <sz val="9"/>
            <color indexed="81"/>
            <rFont val="Tahoma"/>
            <family val="2"/>
          </rPr>
          <t>RISHAV:</t>
        </r>
        <r>
          <rPr>
            <sz val="9"/>
            <color indexed="81"/>
            <rFont val="Tahoma"/>
            <family val="2"/>
          </rPr>
          <t xml:space="preserve">
</t>
        </r>
        <r>
          <rPr>
            <b/>
            <sz val="10"/>
            <color indexed="81"/>
            <rFont val="Calibri"/>
            <family val="2"/>
            <scheme val="minor"/>
          </rPr>
          <t>Mail id is not valid</t>
        </r>
      </text>
    </comment>
  </commentList>
</comments>
</file>

<file path=xl/sharedStrings.xml><?xml version="1.0" encoding="utf-8"?>
<sst xmlns="http://schemas.openxmlformats.org/spreadsheetml/2006/main" count="391" uniqueCount="117">
  <si>
    <t>S No</t>
  </si>
  <si>
    <t>First Name</t>
  </si>
  <si>
    <t xml:space="preserve">Last Name </t>
  </si>
  <si>
    <t>DOJ</t>
  </si>
  <si>
    <t>Sal-Jan</t>
  </si>
  <si>
    <t>Sal-Mar</t>
  </si>
  <si>
    <t>Sal-Feb</t>
  </si>
  <si>
    <t>Sal Total</t>
  </si>
  <si>
    <t>Avg Sal</t>
  </si>
  <si>
    <t>Full Name</t>
  </si>
  <si>
    <t>RNM</t>
  </si>
  <si>
    <t>GOPAL</t>
  </si>
  <si>
    <t>JOSEPH</t>
  </si>
  <si>
    <t>HARI</t>
  </si>
  <si>
    <t>RAJA</t>
  </si>
  <si>
    <t>KUMAR</t>
  </si>
  <si>
    <t>VERMA</t>
  </si>
  <si>
    <t>PAUL</t>
  </si>
  <si>
    <t>SINGH</t>
  </si>
  <si>
    <t>RAM</t>
  </si>
  <si>
    <t>Employee Description</t>
  </si>
  <si>
    <t>Ram has the highest salary</t>
  </si>
  <si>
    <t xml:space="preserve">Numbers </t>
  </si>
  <si>
    <t xml:space="preserve">Round </t>
  </si>
  <si>
    <t>Round Up</t>
  </si>
  <si>
    <t>Round Down</t>
  </si>
  <si>
    <t>January</t>
  </si>
  <si>
    <t>February</t>
  </si>
  <si>
    <t>March</t>
  </si>
  <si>
    <t>April</t>
  </si>
  <si>
    <t>May</t>
  </si>
  <si>
    <t>June</t>
  </si>
  <si>
    <t>July</t>
  </si>
  <si>
    <t>August</t>
  </si>
  <si>
    <t>September</t>
  </si>
  <si>
    <t>October</t>
  </si>
  <si>
    <t>November</t>
  </si>
  <si>
    <t>December</t>
  </si>
  <si>
    <t>Monday</t>
  </si>
  <si>
    <t>Tuesday</t>
  </si>
  <si>
    <t>Wednesday</t>
  </si>
  <si>
    <t>Thursday</t>
  </si>
  <si>
    <t>Friday</t>
  </si>
  <si>
    <t>Saturday</t>
  </si>
  <si>
    <t>Sunday</t>
  </si>
  <si>
    <t>Jan</t>
  </si>
  <si>
    <t>Feb</t>
  </si>
  <si>
    <t>Mar</t>
  </si>
  <si>
    <t>Apr</t>
  </si>
  <si>
    <t>Jun</t>
  </si>
  <si>
    <t>Jul</t>
  </si>
  <si>
    <t>Aug</t>
  </si>
  <si>
    <t>Sep</t>
  </si>
  <si>
    <t>Oct</t>
  </si>
  <si>
    <t>Nov</t>
  </si>
  <si>
    <t>Dec</t>
  </si>
  <si>
    <t>Mon</t>
  </si>
  <si>
    <t>Tue</t>
  </si>
  <si>
    <t>Wed</t>
  </si>
  <si>
    <t>Thu</t>
  </si>
  <si>
    <t>Fri</t>
  </si>
  <si>
    <t>Sat</t>
  </si>
  <si>
    <t>Sun</t>
  </si>
  <si>
    <t>RNM School Data</t>
  </si>
  <si>
    <t xml:space="preserve">Name </t>
  </si>
  <si>
    <t xml:space="preserve">Gender </t>
  </si>
  <si>
    <t xml:space="preserve">Age </t>
  </si>
  <si>
    <t>Class</t>
  </si>
  <si>
    <t xml:space="preserve">House </t>
  </si>
  <si>
    <t>Unit Test 1</t>
  </si>
  <si>
    <t>Unit Test 2</t>
  </si>
  <si>
    <t>Final Test</t>
  </si>
  <si>
    <t>email</t>
  </si>
  <si>
    <t>Abhimanyu</t>
  </si>
  <si>
    <t>M</t>
  </si>
  <si>
    <t>Bhoomi</t>
  </si>
  <si>
    <t>Gopi</t>
  </si>
  <si>
    <t>Agni</t>
  </si>
  <si>
    <t>Keshav</t>
  </si>
  <si>
    <t>Lalita</t>
  </si>
  <si>
    <t>F</t>
  </si>
  <si>
    <t>Vayu</t>
  </si>
  <si>
    <t>Arjun</t>
  </si>
  <si>
    <t>Indu</t>
  </si>
  <si>
    <t xml:space="preserve">Champa </t>
  </si>
  <si>
    <t>Jal</t>
  </si>
  <si>
    <t>Hari</t>
  </si>
  <si>
    <t>Gopal</t>
  </si>
  <si>
    <t>Madhav</t>
  </si>
  <si>
    <t>Sudevi</t>
  </si>
  <si>
    <t>Vrinda</t>
  </si>
  <si>
    <t>Visakha</t>
  </si>
  <si>
    <t>A</t>
  </si>
  <si>
    <t>B</t>
  </si>
  <si>
    <t>C</t>
  </si>
  <si>
    <t>Grade</t>
  </si>
  <si>
    <t>Abhimanyu@mail.com</t>
  </si>
  <si>
    <t>Arjun@mail.com</t>
  </si>
  <si>
    <t>Champa @mail.com</t>
  </si>
  <si>
    <t>Gopal@mail.com</t>
  </si>
  <si>
    <t>Gopi@mail.com</t>
  </si>
  <si>
    <t>Hari@mail.com</t>
  </si>
  <si>
    <t>Indu@mail.com</t>
  </si>
  <si>
    <t>Keshav@mail.com</t>
  </si>
  <si>
    <t>Lalita@mail.com</t>
  </si>
  <si>
    <t>Madhav@mail.com</t>
  </si>
  <si>
    <t>RNM@mail.com</t>
  </si>
  <si>
    <t>Sudevi@mail.com</t>
  </si>
  <si>
    <t>Visakha@mail.com</t>
  </si>
  <si>
    <t>Vrinda@mail.com</t>
  </si>
  <si>
    <t>Champa@mail.com</t>
  </si>
  <si>
    <t>Champa</t>
  </si>
  <si>
    <t>Name</t>
  </si>
  <si>
    <t>VlookUP</t>
  </si>
  <si>
    <t>Pivot Table</t>
  </si>
  <si>
    <t>Sum of Final Test</t>
  </si>
  <si>
    <t>Half Yr Test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</si>
</sst>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F800]dddd\,\ mmmm\ dd\,\ yyyy"/>
    <numFmt numFmtId="165" formatCode="0.0000"/>
  </numFmts>
  <fonts count="7" x14ac:knownFonts="1">
    <font>
      <sz val="11"/>
      <color theme="1"/>
      <name val="Calibri"/>
      <family val="2"/>
      <scheme val="minor"/>
    </font>
    <font>
      <sz val="14"/>
      <color theme="1"/>
      <name val="Calibri"/>
      <family val="2"/>
      <scheme val="minor"/>
    </font>
    <font>
      <b/>
      <sz val="14"/>
      <color theme="1"/>
      <name val="Calibri"/>
      <family val="2"/>
      <scheme val="minor"/>
    </font>
    <font>
      <u/>
      <sz val="11"/>
      <color theme="10"/>
      <name val="Calibri"/>
      <family val="2"/>
      <scheme val="minor"/>
    </font>
    <font>
      <b/>
      <sz val="9"/>
      <color indexed="81"/>
      <name val="Tahoma"/>
      <family val="2"/>
    </font>
    <font>
      <sz val="9"/>
      <color indexed="81"/>
      <name val="Tahoma"/>
      <family val="2"/>
    </font>
    <font>
      <b/>
      <sz val="10"/>
      <color indexed="81"/>
      <name val="Calibri"/>
      <family val="2"/>
      <scheme val="minor"/>
    </font>
  </fonts>
  <fills count="9">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8" tint="0.79998168889431442"/>
        <bgColor theme="8" tint="0.79998168889431442"/>
      </patternFill>
    </fill>
    <fill>
      <patternFill patternType="solid">
        <fgColor theme="6" tint="0.79998168889431442"/>
        <bgColor theme="6" tint="0.79998168889431442"/>
      </patternFill>
    </fill>
    <fill>
      <patternFill patternType="solid">
        <fgColor theme="2"/>
        <bgColor theme="6" tint="0.79998168889431442"/>
      </patternFill>
    </fill>
  </fills>
  <borders count="19">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theme="8"/>
      </right>
      <top style="thin">
        <color theme="8"/>
      </top>
      <bottom style="thin">
        <color indexed="64"/>
      </bottom>
      <diagonal/>
    </border>
    <border>
      <left/>
      <right style="thin">
        <color indexed="64"/>
      </right>
      <top style="thin">
        <color indexed="64"/>
      </top>
      <bottom/>
      <diagonal/>
    </border>
    <border>
      <left style="thin">
        <color indexed="64"/>
      </left>
      <right style="thin">
        <color theme="8"/>
      </right>
      <top style="thin">
        <color theme="8"/>
      </top>
      <bottom style="thin">
        <color theme="8"/>
      </bottom>
      <diagonal/>
    </border>
    <border>
      <left/>
      <right/>
      <top/>
      <bottom style="thin">
        <color indexed="64"/>
      </bottom>
      <diagonal/>
    </border>
    <border>
      <left/>
      <right style="thin">
        <color indexed="64"/>
      </right>
      <top/>
      <bottom style="thin">
        <color indexed="64"/>
      </bottom>
      <diagonal/>
    </border>
    <border>
      <left/>
      <right style="thin">
        <color theme="8"/>
      </right>
      <top style="thin">
        <color theme="8"/>
      </top>
      <bottom style="thin">
        <color theme="8"/>
      </bottom>
      <diagonal/>
    </border>
    <border>
      <left/>
      <right style="thin">
        <color theme="8"/>
      </right>
      <top style="thin">
        <color theme="8"/>
      </top>
      <bottom/>
      <diagonal/>
    </border>
  </borders>
  <cellStyleXfs count="2">
    <xf numFmtId="0" fontId="0" fillId="0" borderId="0"/>
    <xf numFmtId="0" fontId="3" fillId="0" borderId="0" applyNumberFormat="0" applyFill="0" applyBorder="0" applyAlignment="0" applyProtection="0"/>
  </cellStyleXfs>
  <cellXfs count="61">
    <xf numFmtId="0" fontId="0" fillId="0" borderId="0" xfId="0"/>
    <xf numFmtId="0" fontId="1" fillId="0" borderId="0" xfId="0" applyFont="1"/>
    <xf numFmtId="0" fontId="1" fillId="0" borderId="0" xfId="0" applyFont="1" applyAlignment="1">
      <alignment horizontal="center"/>
    </xf>
    <xf numFmtId="0" fontId="2" fillId="2" borderId="1" xfId="0" applyFont="1" applyFill="1" applyBorder="1"/>
    <xf numFmtId="0" fontId="2" fillId="2" borderId="1" xfId="0" applyFont="1" applyFill="1" applyBorder="1" applyAlignment="1">
      <alignment horizontal="center"/>
    </xf>
    <xf numFmtId="0" fontId="1" fillId="0" borderId="1" xfId="0" applyFont="1" applyBorder="1" applyAlignment="1">
      <alignment horizontal="center"/>
    </xf>
    <xf numFmtId="0" fontId="1" fillId="0" borderId="1" xfId="0" applyFont="1" applyBorder="1"/>
    <xf numFmtId="164" fontId="1" fillId="0" borderId="1" xfId="0" applyNumberFormat="1" applyFont="1" applyBorder="1" applyAlignment="1">
      <alignment horizontal="center"/>
    </xf>
    <xf numFmtId="1" fontId="1" fillId="0" borderId="1" xfId="0" applyNumberFormat="1" applyFont="1" applyBorder="1" applyAlignment="1">
      <alignment horizontal="center"/>
    </xf>
    <xf numFmtId="0" fontId="1" fillId="0" borderId="2" xfId="0" applyFont="1" applyBorder="1" applyAlignment="1">
      <alignment horizontal="center"/>
    </xf>
    <xf numFmtId="0" fontId="1" fillId="0" borderId="3" xfId="0" applyFont="1" applyBorder="1"/>
    <xf numFmtId="0" fontId="1" fillId="0" borderId="0" xfId="0" applyFont="1" applyAlignment="1"/>
    <xf numFmtId="165" fontId="1" fillId="0" borderId="0" xfId="0" applyNumberFormat="1" applyFont="1"/>
    <xf numFmtId="0" fontId="2" fillId="5" borderId="7" xfId="0" applyFont="1" applyFill="1" applyBorder="1" applyAlignment="1">
      <alignment horizontal="center"/>
    </xf>
    <xf numFmtId="0" fontId="2" fillId="5" borderId="7" xfId="0" applyFont="1" applyFill="1" applyBorder="1"/>
    <xf numFmtId="0" fontId="2" fillId="5" borderId="8" xfId="0" applyFont="1" applyFill="1" applyBorder="1"/>
    <xf numFmtId="0" fontId="1" fillId="0" borderId="4" xfId="1" applyFont="1" applyFill="1" applyBorder="1"/>
    <xf numFmtId="0" fontId="1" fillId="0" borderId="9" xfId="0" applyFont="1" applyBorder="1" applyAlignment="1">
      <alignment horizontal="center"/>
    </xf>
    <xf numFmtId="0" fontId="1" fillId="0" borderId="9" xfId="0" applyFont="1" applyBorder="1"/>
    <xf numFmtId="0" fontId="1" fillId="0" borderId="10" xfId="1" applyFont="1" applyFill="1" applyBorder="1"/>
    <xf numFmtId="0" fontId="2" fillId="4" borderId="0" xfId="0" applyFont="1" applyFill="1" applyAlignment="1">
      <alignment horizontal="center" vertical="center"/>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1" fillId="6" borderId="1" xfId="0" applyFont="1" applyFill="1" applyBorder="1" applyAlignment="1">
      <alignment horizontal="center"/>
    </xf>
    <xf numFmtId="0" fontId="1" fillId="6" borderId="1" xfId="0" applyFont="1" applyFill="1" applyBorder="1"/>
    <xf numFmtId="0" fontId="1" fillId="7" borderId="1" xfId="0" applyFont="1" applyFill="1" applyBorder="1" applyAlignment="1">
      <alignment horizontal="center"/>
    </xf>
    <xf numFmtId="0" fontId="2" fillId="5" borderId="1" xfId="0" applyFont="1" applyFill="1" applyBorder="1" applyAlignment="1">
      <alignment horizontal="center"/>
    </xf>
    <xf numFmtId="0" fontId="2" fillId="5" borderId="1" xfId="0" applyFont="1" applyFill="1" applyBorder="1"/>
    <xf numFmtId="0" fontId="1" fillId="6" borderId="14" xfId="0" applyFont="1" applyFill="1" applyBorder="1"/>
    <xf numFmtId="0" fontId="1" fillId="6" borderId="12" xfId="0" applyFont="1" applyFill="1" applyBorder="1"/>
    <xf numFmtId="0" fontId="1" fillId="0" borderId="17" xfId="0" applyFont="1" applyBorder="1"/>
    <xf numFmtId="0" fontId="1" fillId="6" borderId="17" xfId="0" applyFont="1" applyFill="1" applyBorder="1"/>
    <xf numFmtId="0" fontId="1" fillId="0" borderId="4" xfId="1" applyFont="1" applyBorder="1"/>
    <xf numFmtId="0" fontId="1" fillId="6" borderId="4" xfId="1" applyFont="1" applyFill="1" applyBorder="1"/>
    <xf numFmtId="0" fontId="2" fillId="5" borderId="16" xfId="0" applyFont="1" applyFill="1" applyBorder="1" applyAlignment="1">
      <alignment horizontal="center"/>
    </xf>
    <xf numFmtId="0" fontId="1" fillId="6" borderId="18" xfId="0" applyFont="1" applyFill="1" applyBorder="1"/>
    <xf numFmtId="0" fontId="1" fillId="6" borderId="9" xfId="0" applyFont="1" applyFill="1" applyBorder="1" applyAlignment="1">
      <alignment horizontal="center"/>
    </xf>
    <xf numFmtId="0" fontId="1" fillId="6" borderId="9" xfId="0" applyFont="1" applyFill="1" applyBorder="1"/>
    <xf numFmtId="0" fontId="1" fillId="6" borderId="10" xfId="1" applyFont="1" applyFill="1" applyBorder="1"/>
    <xf numFmtId="0" fontId="1" fillId="7" borderId="14" xfId="0" applyFont="1" applyFill="1" applyBorder="1"/>
    <xf numFmtId="0" fontId="3" fillId="5" borderId="16" xfId="1" applyFill="1" applyBorder="1" applyAlignment="1">
      <alignment horizontal="center"/>
    </xf>
    <xf numFmtId="0" fontId="2" fillId="0" borderId="0" xfId="0" applyFont="1"/>
    <xf numFmtId="0" fontId="1" fillId="0" borderId="5" xfId="1" applyFont="1" applyFill="1" applyBorder="1"/>
    <xf numFmtId="0" fontId="2" fillId="8" borderId="15" xfId="1" applyFont="1" applyFill="1" applyBorder="1"/>
    <xf numFmtId="0" fontId="1" fillId="0" borderId="11" xfId="1" applyFont="1" applyFill="1" applyBorder="1"/>
    <xf numFmtId="0" fontId="1" fillId="0" borderId="15" xfId="1" applyFont="1" applyFill="1" applyBorder="1"/>
    <xf numFmtId="0" fontId="1" fillId="0" borderId="6" xfId="0" applyFont="1" applyBorder="1" applyAlignment="1">
      <alignment horizontal="center"/>
    </xf>
    <xf numFmtId="0" fontId="1" fillId="0" borderId="13" xfId="0" applyFont="1" applyBorder="1" applyAlignment="1">
      <alignment horizontal="center"/>
    </xf>
    <xf numFmtId="0" fontId="1" fillId="0" borderId="4" xfId="0" applyFont="1" applyBorder="1"/>
    <xf numFmtId="0" fontId="1" fillId="7" borderId="13" xfId="0" applyFont="1" applyFill="1" applyBorder="1" applyAlignment="1">
      <alignment horizontal="center"/>
    </xf>
    <xf numFmtId="0" fontId="1" fillId="0" borderId="10" xfId="0" applyFont="1" applyBorder="1"/>
    <xf numFmtId="0" fontId="1" fillId="0" borderId="10" xfId="0" applyNumberFormat="1" applyFont="1" applyBorder="1"/>
    <xf numFmtId="0" fontId="1" fillId="0" borderId="6" xfId="0" applyFont="1" applyBorder="1"/>
    <xf numFmtId="0" fontId="2" fillId="0" borderId="16" xfId="0" applyFont="1" applyBorder="1"/>
    <xf numFmtId="0" fontId="2" fillId="0" borderId="7" xfId="0" applyFont="1" applyBorder="1"/>
    <xf numFmtId="0" fontId="2" fillId="0" borderId="8" xfId="0" applyFont="1" applyBorder="1"/>
    <xf numFmtId="0" fontId="1" fillId="0" borderId="13" xfId="0" applyFont="1" applyBorder="1"/>
    <xf numFmtId="0" fontId="0" fillId="0" borderId="0" xfId="0" pivotButton="1"/>
    <xf numFmtId="0" fontId="0" fillId="0" borderId="0" xfId="0" applyNumberFormat="1"/>
    <xf numFmtId="0" fontId="1" fillId="0" borderId="7" xfId="0" applyFont="1" applyBorder="1"/>
  </cellXfs>
  <cellStyles count="2">
    <cellStyle name="Hyperlink" xfId="1" builtinId="8"/>
    <cellStyle name="Normal" xfId="0" builtinId="0"/>
  </cellStyles>
  <dxfs count="72">
    <dxf>
      <font>
        <b val="0"/>
        <i val="0"/>
        <strike val="0"/>
        <condense val="0"/>
        <extend val="0"/>
        <outline val="0"/>
        <shadow val="0"/>
        <u val="none"/>
        <vertAlign val="baseline"/>
        <sz val="14"/>
        <color theme="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dxf>
    <dxf>
      <font>
        <b/>
        <i val="0"/>
        <strike val="0"/>
        <condense val="0"/>
        <extend val="0"/>
        <outline val="0"/>
        <shadow val="0"/>
        <u val="none"/>
        <vertAlign val="baseline"/>
        <sz val="14"/>
        <color theme="1"/>
        <name val="Calibri"/>
        <scheme val="minor"/>
      </font>
      <border diagonalUp="0" diagonalDown="0" outline="0">
        <left style="thin">
          <color indexed="64"/>
        </left>
        <right style="thin">
          <color indexed="64"/>
        </right>
        <top/>
        <bottom/>
      </border>
    </dxf>
    <dxf>
      <font>
        <color rgb="FF9C0006"/>
      </font>
      <fill>
        <patternFill>
          <bgColor rgb="FFFFC7CE"/>
        </patternFill>
      </fill>
    </dxf>
    <dxf>
      <font>
        <b val="0"/>
        <i val="0"/>
        <strike val="0"/>
        <condense val="0"/>
        <extend val="0"/>
        <outline val="0"/>
        <shadow val="0"/>
        <u val="none"/>
        <vertAlign val="baseline"/>
        <sz val="14"/>
        <color theme="1"/>
        <name val="Calibri"/>
        <scheme val="minor"/>
      </font>
      <fill>
        <patternFill patternType="none">
          <fgColor indexed="64"/>
          <bgColor indexed="65"/>
        </patternFill>
      </fill>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theme="1"/>
        <name val="Calibri"/>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4"/>
        <color theme="1"/>
        <name val="Calibri"/>
        <scheme val="minor"/>
      </font>
      <fill>
        <patternFill patternType="solid">
          <fgColor indexed="64"/>
          <bgColor theme="4" tint="0.79998168889431442"/>
        </patternFill>
      </fill>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4"/>
        <color theme="1"/>
        <name val="Calibri"/>
        <scheme val="minor"/>
      </font>
      <numFmt numFmtId="0" formatCode="Genera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fill>
        <patternFill patternType="none">
          <fgColor indexed="64"/>
          <bgColor indexed="65"/>
        </patternFill>
      </fill>
      <border diagonalUp="0" diagonalDown="0">
        <left/>
        <right/>
        <top style="thin">
          <color indexed="64"/>
        </top>
        <bottom style="thin">
          <color indexed="64"/>
        </bottom>
        <vertical/>
        <horizontal/>
      </border>
    </dxf>
    <dxf>
      <font>
        <b/>
        <i val="0"/>
        <strike val="0"/>
        <condense val="0"/>
        <extend val="0"/>
        <outline val="0"/>
        <shadow val="0"/>
        <u val="none"/>
        <vertAlign val="baseline"/>
        <sz val="14"/>
        <color theme="1"/>
        <name val="Calibri"/>
        <scheme val="minor"/>
      </font>
      <fill>
        <patternFill patternType="solid">
          <fgColor theme="6" tint="0.79998168889431442"/>
          <bgColor theme="2"/>
        </patternFill>
      </fill>
    </dxf>
    <dxf>
      <font>
        <b val="0"/>
        <i val="0"/>
        <strike val="0"/>
        <condense val="0"/>
        <extend val="0"/>
        <outline val="0"/>
        <shadow val="0"/>
        <u val="none"/>
        <vertAlign val="baseline"/>
        <sz val="14"/>
        <color theme="1"/>
        <name val="Calibri"/>
        <scheme val="minor"/>
      </font>
      <fill>
        <patternFill patternType="none">
          <fgColor indexed="64"/>
          <bgColor indexed="65"/>
        </patternFill>
      </fill>
    </dxf>
    <dxf>
      <font>
        <b val="0"/>
        <i val="0"/>
        <strike val="0"/>
        <condense val="0"/>
        <extend val="0"/>
        <outline val="0"/>
        <shadow val="0"/>
        <u val="none"/>
        <vertAlign val="baseline"/>
        <sz val="14"/>
        <color theme="1"/>
        <name val="Calibri"/>
        <scheme val="minor"/>
      </font>
      <fill>
        <patternFill patternType="none">
          <fgColor indexed="64"/>
          <bgColor indexed="65"/>
        </patternFill>
      </fill>
      <border diagonalUp="0" diagonalDown="0">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fill>
        <patternFill patternType="none">
          <fgColor indexed="64"/>
          <bgColor indexed="65"/>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4"/>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4"/>
        <color theme="1"/>
        <name val="Calibri"/>
        <scheme val="minor"/>
      </font>
    </dxf>
    <dxf>
      <font>
        <b val="0"/>
        <i val="0"/>
        <strike val="0"/>
        <condense val="0"/>
        <extend val="0"/>
        <outline val="0"/>
        <shadow val="0"/>
        <u val="none"/>
        <vertAlign val="baseline"/>
        <sz val="14"/>
        <color theme="1"/>
        <name val="Calibri"/>
        <scheme val="minor"/>
      </font>
    </dxf>
    <dxf>
      <font>
        <b val="0"/>
        <i val="0"/>
        <strike val="0"/>
        <condense val="0"/>
        <extend val="0"/>
        <outline val="0"/>
        <shadow val="0"/>
        <u val="none"/>
        <vertAlign val="baseline"/>
        <sz val="14"/>
        <color theme="1"/>
        <name val="Calibri"/>
        <scheme val="minor"/>
      </font>
    </dxf>
    <dxf>
      <font>
        <b/>
        <i val="0"/>
        <strike val="0"/>
        <condense val="0"/>
        <extend val="0"/>
        <outline val="0"/>
        <shadow val="0"/>
        <u val="none"/>
        <vertAlign val="baseline"/>
        <sz val="14"/>
        <color theme="1"/>
        <name val="Calibri"/>
        <scheme val="minor"/>
      </font>
      <fill>
        <patternFill patternType="solid">
          <fgColor indexed="64"/>
          <bgColor theme="4" tint="0.79998168889431442"/>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scheme val="minor"/>
      </font>
      <fill>
        <patternFill patternType="solid">
          <fgColor theme="8" tint="0.79998168889431442"/>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4"/>
        <color theme="1"/>
        <name val="Calibri"/>
        <scheme val="minor"/>
      </font>
      <fill>
        <patternFill patternType="solid">
          <fgColor theme="8" tint="0.79998168889431442"/>
          <bgColor theme="8" tint="0.79998168889431442"/>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fill>
        <patternFill patternType="solid">
          <fgColor theme="8" tint="0.79998168889431442"/>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fill>
        <patternFill patternType="solid">
          <fgColor theme="8" tint="0.79998168889431442"/>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fill>
        <patternFill patternType="solid">
          <fgColor theme="8" tint="0.79998168889431442"/>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fill>
        <patternFill patternType="solid">
          <fgColor theme="8" tint="0.79998168889431442"/>
          <bgColor theme="8"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fill>
        <patternFill patternType="solid">
          <fgColor theme="8" tint="0.79998168889431442"/>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fill>
        <patternFill patternType="solid">
          <fgColor theme="8" tint="0.79998168889431442"/>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fill>
        <patternFill patternType="solid">
          <fgColor theme="8" tint="0.79998168889431442"/>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fill>
        <patternFill patternType="solid">
          <fgColor theme="8" tint="0.79998168889431442"/>
          <bgColor theme="8" tint="0.79998168889431442"/>
        </patternFill>
      </fill>
      <border diagonalUp="0" diagonalDown="0">
        <left/>
        <right style="thin">
          <color theme="8"/>
        </right>
        <top style="thin">
          <color theme="8"/>
        </top>
        <bottom style="thin">
          <color theme="8"/>
        </bottom>
        <vertical/>
        <horizontal/>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Calibri"/>
        <scheme val="minor"/>
      </font>
      <fill>
        <patternFill patternType="solid">
          <fgColor indexed="64"/>
          <bgColor theme="4" tint="0.79998168889431442"/>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Charts!$B$1</c:f>
              <c:strCache>
                <c:ptCount val="1"/>
                <c:pt idx="0">
                  <c:v>Final Test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Charts!$A$2:$A$15</c:f>
              <c:strCache>
                <c:ptCount val="14"/>
                <c:pt idx="0">
                  <c:v>Abhimanyu</c:v>
                </c:pt>
                <c:pt idx="1">
                  <c:v>Arjun</c:v>
                </c:pt>
                <c:pt idx="2">
                  <c:v>Champa </c:v>
                </c:pt>
                <c:pt idx="3">
                  <c:v>Gopal</c:v>
                </c:pt>
                <c:pt idx="4">
                  <c:v>Gopi</c:v>
                </c:pt>
                <c:pt idx="5">
                  <c:v>Hari</c:v>
                </c:pt>
                <c:pt idx="6">
                  <c:v>Indu</c:v>
                </c:pt>
                <c:pt idx="7">
                  <c:v>Keshav</c:v>
                </c:pt>
                <c:pt idx="8">
                  <c:v>Lalita</c:v>
                </c:pt>
                <c:pt idx="9">
                  <c:v>Madhav</c:v>
                </c:pt>
                <c:pt idx="10">
                  <c:v>RNM</c:v>
                </c:pt>
                <c:pt idx="11">
                  <c:v>Sudevi</c:v>
                </c:pt>
                <c:pt idx="12">
                  <c:v>Visakha</c:v>
                </c:pt>
                <c:pt idx="13">
                  <c:v>Vrinda</c:v>
                </c:pt>
              </c:strCache>
            </c:strRef>
          </c:cat>
          <c:val>
            <c:numRef>
              <c:f>Charts!$B$2:$B$15</c:f>
              <c:numCache>
                <c:formatCode>General</c:formatCode>
                <c:ptCount val="14"/>
                <c:pt idx="0">
                  <c:v>99</c:v>
                </c:pt>
                <c:pt idx="1">
                  <c:v>91</c:v>
                </c:pt>
                <c:pt idx="2">
                  <c:v>88</c:v>
                </c:pt>
                <c:pt idx="3">
                  <c:v>79</c:v>
                </c:pt>
                <c:pt idx="4">
                  <c:v>96</c:v>
                </c:pt>
                <c:pt idx="5">
                  <c:v>80</c:v>
                </c:pt>
                <c:pt idx="6">
                  <c:v>89</c:v>
                </c:pt>
                <c:pt idx="7">
                  <c:v>96</c:v>
                </c:pt>
                <c:pt idx="8">
                  <c:v>92</c:v>
                </c:pt>
                <c:pt idx="9">
                  <c:v>89</c:v>
                </c:pt>
                <c:pt idx="10">
                  <c:v>77</c:v>
                </c:pt>
                <c:pt idx="11">
                  <c:v>87</c:v>
                </c:pt>
                <c:pt idx="12">
                  <c:v>85</c:v>
                </c:pt>
                <c:pt idx="13">
                  <c:v>98</c:v>
                </c:pt>
              </c:numCache>
            </c:numRef>
          </c:val>
        </c:ser>
        <c:dLbls>
          <c:dLblPos val="outEnd"/>
          <c:showLegendKey val="0"/>
          <c:showVal val="1"/>
          <c:showCatName val="0"/>
          <c:showSerName val="0"/>
          <c:showPercent val="0"/>
          <c:showBubbleSize val="0"/>
        </c:dLbls>
        <c:gapWidth val="219"/>
        <c:overlap val="-27"/>
        <c:axId val="385354664"/>
        <c:axId val="385357016"/>
      </c:barChart>
      <c:catAx>
        <c:axId val="385354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Student</a:t>
                </a:r>
                <a:r>
                  <a:rPr lang="en-IN" baseline="0"/>
                  <a:t> Names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357016"/>
        <c:crosses val="autoZero"/>
        <c:auto val="1"/>
        <c:lblAlgn val="ctr"/>
        <c:lblOffset val="100"/>
        <c:noMultiLvlLbl val="0"/>
      </c:catAx>
      <c:valAx>
        <c:axId val="385357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Final Marks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3546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10</xdr:col>
      <xdr:colOff>590550</xdr:colOff>
      <xdr:row>4</xdr:row>
      <xdr:rowOff>50801</xdr:rowOff>
    </xdr:from>
    <xdr:to>
      <xdr:col>13</xdr:col>
      <xdr:colOff>590550</xdr:colOff>
      <xdr:row>10</xdr:row>
      <xdr:rowOff>63501</xdr:rowOff>
    </xdr:to>
    <mc:AlternateContent xmlns:mc="http://schemas.openxmlformats.org/markup-compatibility/2006">
      <mc:Choice xmlns:sle15="http://schemas.microsoft.com/office/drawing/2012/slicer" Requires="sle15">
        <xdr:graphicFrame macro="">
          <xdr:nvGraphicFramePr>
            <xdr:cNvPr id="4" name="House "/>
            <xdr:cNvGraphicFramePr/>
          </xdr:nvGraphicFramePr>
          <xdr:xfrm>
            <a:off x="0" y="0"/>
            <a:ext cx="0" cy="0"/>
          </xdr:xfrm>
          <a:graphic>
            <a:graphicData uri="http://schemas.microsoft.com/office/drawing/2010/slicer">
              <sle:slicer xmlns:sle="http://schemas.microsoft.com/office/drawing/2010/slicer" name="House "/>
            </a:graphicData>
          </a:graphic>
        </xdr:graphicFrame>
      </mc:Choice>
      <mc:Fallback>
        <xdr:sp macro="" textlink="">
          <xdr:nvSpPr>
            <xdr:cNvPr id="0" name=""/>
            <xdr:cNvSpPr>
              <a:spLocks noTextEdit="1"/>
            </xdr:cNvSpPr>
          </xdr:nvSpPr>
          <xdr:spPr>
            <a:xfrm>
              <a:off x="9372600" y="939801"/>
              <a:ext cx="1828800" cy="14224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3174</xdr:colOff>
      <xdr:row>0</xdr:row>
      <xdr:rowOff>0</xdr:rowOff>
    </xdr:from>
    <xdr:to>
      <xdr:col>12</xdr:col>
      <xdr:colOff>590550</xdr:colOff>
      <xdr:row>13</xdr:row>
      <xdr:rowOff>203200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ISHAV" refreshedDate="46120.659694212962" createdVersion="5" refreshedVersion="5" minRefreshableVersion="3" recordCount="14">
  <cacheSource type="worksheet">
    <worksheetSource name="Table8[[Name ]:[email]]"/>
  </cacheSource>
  <cacheFields count="9">
    <cacheField name="Name " numFmtId="0">
      <sharedItems/>
    </cacheField>
    <cacheField name="Gender " numFmtId="0">
      <sharedItems count="2">
        <s v="M"/>
        <s v="F"/>
      </sharedItems>
    </cacheField>
    <cacheField name="Age " numFmtId="0">
      <sharedItems containsSemiMixedTypes="0" containsString="0" containsNumber="1" containsInteger="1" minValue="11" maxValue="17"/>
    </cacheField>
    <cacheField name="Class" numFmtId="0">
      <sharedItems containsSemiMixedTypes="0" containsString="0" containsNumber="1" containsInteger="1" minValue="5" maxValue="10"/>
    </cacheField>
    <cacheField name="House " numFmtId="0">
      <sharedItems count="4">
        <s v="Bhoomi"/>
        <s v="Vayu"/>
        <s v="Jal"/>
        <s v="Agni"/>
      </sharedItems>
    </cacheField>
    <cacheField name="Unit Test 1" numFmtId="0">
      <sharedItems containsSemiMixedTypes="0" containsString="0" containsNumber="1" containsInteger="1" minValue="70" maxValue="91"/>
    </cacheField>
    <cacheField name="Unit Test 2" numFmtId="0">
      <sharedItems containsSemiMixedTypes="0" containsString="0" containsNumber="1" containsInteger="1" minValue="75" maxValue="96"/>
    </cacheField>
    <cacheField name="Final Test" numFmtId="0">
      <sharedItems containsSemiMixedTypes="0" containsString="0" containsNumber="1" containsInteger="1" minValue="77" maxValue="99"/>
    </cacheField>
    <cacheField name="email"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4">
  <r>
    <s v="Abhimanyu"/>
    <x v="0"/>
    <n v="16"/>
    <n v="10"/>
    <x v="0"/>
    <n v="84"/>
    <n v="79"/>
    <n v="99"/>
    <s v="Abhimanyu@mail.com"/>
  </r>
  <r>
    <s v="Arjun"/>
    <x v="0"/>
    <n v="11"/>
    <n v="5"/>
    <x v="1"/>
    <n v="82"/>
    <n v="83"/>
    <n v="91"/>
    <s v="Arjun@mail.com"/>
  </r>
  <r>
    <s v="Champa "/>
    <x v="1"/>
    <n v="15"/>
    <n v="8"/>
    <x v="2"/>
    <n v="81"/>
    <n v="78"/>
    <n v="88"/>
    <s v="Champa @mail.com"/>
  </r>
  <r>
    <s v="Gopal"/>
    <x v="0"/>
    <n v="14"/>
    <n v="8"/>
    <x v="0"/>
    <n v="70"/>
    <n v="75"/>
    <n v="89"/>
    <s v="Gopal@mail.com"/>
  </r>
  <r>
    <s v="Gopi"/>
    <x v="1"/>
    <n v="16"/>
    <n v="10"/>
    <x v="3"/>
    <n v="88"/>
    <n v="92"/>
    <n v="96"/>
    <s v="Gopi@mail.com"/>
  </r>
  <r>
    <s v="Hari"/>
    <x v="0"/>
    <n v="16"/>
    <n v="10"/>
    <x v="0"/>
    <n v="82"/>
    <n v="81"/>
    <n v="80"/>
    <s v="Hari@mail.com"/>
  </r>
  <r>
    <s v="Indu"/>
    <x v="1"/>
    <n v="14"/>
    <n v="8"/>
    <x v="1"/>
    <n v="90"/>
    <n v="86"/>
    <n v="89"/>
    <s v="Indu@mail.com"/>
  </r>
  <r>
    <s v="Keshav"/>
    <x v="0"/>
    <n v="15"/>
    <n v="9"/>
    <x v="3"/>
    <n v="87"/>
    <n v="89"/>
    <n v="96"/>
    <s v="Keshav@mail.com"/>
  </r>
  <r>
    <s v="Lalita"/>
    <x v="1"/>
    <n v="17"/>
    <n v="10"/>
    <x v="1"/>
    <n v="70"/>
    <n v="90"/>
    <n v="92"/>
    <s v="Lalita@mail.com"/>
  </r>
  <r>
    <s v="Madhav"/>
    <x v="0"/>
    <n v="12"/>
    <n v="7"/>
    <x v="2"/>
    <n v="86"/>
    <n v="92"/>
    <n v="89"/>
    <s v="Madhav@mail.com"/>
  </r>
  <r>
    <s v="RNM"/>
    <x v="0"/>
    <n v="16"/>
    <n v="10"/>
    <x v="3"/>
    <n v="86"/>
    <n v="81"/>
    <n v="77"/>
    <s v="RNM@mail.com"/>
  </r>
  <r>
    <s v="Sudevi"/>
    <x v="1"/>
    <n v="16"/>
    <n v="10"/>
    <x v="2"/>
    <n v="81"/>
    <n v="80"/>
    <n v="87"/>
    <s v="Sudevi@mail.com"/>
  </r>
  <r>
    <s v="Visakha"/>
    <x v="1"/>
    <n v="16"/>
    <n v="10"/>
    <x v="0"/>
    <n v="70"/>
    <n v="87"/>
    <n v="85"/>
    <s v="Visakha@mail.com"/>
  </r>
  <r>
    <s v="Vrinda"/>
    <x v="0"/>
    <n v="14"/>
    <n v="8"/>
    <x v="3"/>
    <n v="91"/>
    <n v="96"/>
    <n v="98"/>
    <s v="Vrinda@mail.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62"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location ref="A3:C11" firstHeaderRow="1" firstDataRow="1" firstDataCol="2"/>
  <pivotFields count="9">
    <pivotField compact="0" outline="0" showAll="0" defaultSubtotal="0"/>
    <pivotField axis="axisRow" compact="0" outline="0" showAll="0" defaultSubtotal="0">
      <items count="2">
        <item x="1"/>
        <item x="0"/>
      </items>
    </pivotField>
    <pivotField compact="0" outline="0" showAll="0" defaultSubtotal="0"/>
    <pivotField compact="0" outline="0" showAll="0" defaultSubtotal="0"/>
    <pivotField axis="axisRow" compact="0" outline="0" showAll="0" defaultSubtotal="0">
      <items count="4">
        <item x="3"/>
        <item x="0"/>
        <item x="2"/>
        <item x="1"/>
      </items>
    </pivotField>
    <pivotField compact="0" outline="0" showAll="0" defaultSubtotal="0"/>
    <pivotField compact="0" outline="0" showAll="0" defaultSubtotal="0"/>
    <pivotField dataField="1" compact="0" outline="0" showAll="0" defaultSubtotal="0"/>
    <pivotField compact="0" outline="0" showAll="0" defaultSubtotal="0"/>
  </pivotFields>
  <rowFields count="2">
    <field x="4"/>
    <field x="1"/>
  </rowFields>
  <rowItems count="8">
    <i>
      <x/>
      <x/>
    </i>
    <i r="1">
      <x v="1"/>
    </i>
    <i>
      <x v="1"/>
      <x/>
    </i>
    <i r="1">
      <x v="1"/>
    </i>
    <i>
      <x v="2"/>
      <x/>
    </i>
    <i r="1">
      <x v="1"/>
    </i>
    <i>
      <x v="3"/>
      <x/>
    </i>
    <i r="1">
      <x v="1"/>
    </i>
  </rowItems>
  <colItems count="1">
    <i/>
  </colItems>
  <dataFields count="1">
    <dataField name="Sum of Final Test" fld="7" baseField="0" baseItem="0"/>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House" sourceName="House ">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House " cache="Slicer_House" caption="House " rowHeight="241300"/>
</slicers>
</file>

<file path=xl/tables/table1.xml><?xml version="1.0" encoding="utf-8"?>
<table xmlns="http://schemas.openxmlformats.org/spreadsheetml/2006/main" id="2" name="Table2" displayName="Table2" ref="A2:I16" totalsRowShown="0" headerRowDxfId="71" dataDxfId="69" headerRowBorderDxfId="70" tableBorderDxfId="68" totalsRowBorderDxfId="67">
  <tableColumns count="9">
    <tableColumn id="1" name="Name " dataDxfId="43" dataCellStyle="Normal"/>
    <tableColumn id="2" name="Gender " dataDxfId="66"/>
    <tableColumn id="3" name="Age " dataDxfId="65"/>
    <tableColumn id="4" name="Class" dataDxfId="64"/>
    <tableColumn id="5" name="House " dataDxfId="63"/>
    <tableColumn id="6" name="Unit Test 1" dataDxfId="62"/>
    <tableColumn id="7" name="Unit Test 2" dataDxfId="61"/>
    <tableColumn id="8" name="Final Test" dataDxfId="60"/>
    <tableColumn id="9" name="email" dataDxfId="42" dataCellStyle="Hyperlink">
      <calculatedColumnFormula>CONCATENATE(A3, "@mail.com")</calculatedColumnFormula>
    </tableColumn>
  </tableColumns>
  <tableStyleInfo name="TableStyleLight18" showFirstColumn="0" showLastColumn="0" showRowStripes="1" showColumnStripes="0"/>
</table>
</file>

<file path=xl/tables/table2.xml><?xml version="1.0" encoding="utf-8"?>
<table xmlns="http://schemas.openxmlformats.org/spreadsheetml/2006/main" id="1" name="Table1" displayName="Table1" ref="A3:I17" totalsRowShown="0" headerRowDxfId="47" dataDxfId="48" headerRowBorderDxfId="58" tableBorderDxfId="59">
  <autoFilter ref="A3:I17"/>
  <tableColumns count="9">
    <tableColumn id="1" name="Name " dataDxfId="57"/>
    <tableColumn id="2" name="Gender " dataDxfId="56"/>
    <tableColumn id="3" name="Age " dataDxfId="55"/>
    <tableColumn id="4" name="Class" dataDxfId="54"/>
    <tableColumn id="5" name="House " dataDxfId="53"/>
    <tableColumn id="6" name="Unit Test 1" dataDxfId="52"/>
    <tableColumn id="7" name="Unit Test 2" dataDxfId="51"/>
    <tableColumn id="8" name="Final Test" dataDxfId="50"/>
    <tableColumn id="9" name="email" dataDxfId="49" dataCellStyle="Hyperlink">
      <calculatedColumnFormula>CONCATENATE(A4, "@mail.com")</calculatedColumnFormula>
    </tableColumn>
  </tableColumns>
  <tableStyleInfo name="TableStyleLight18" showFirstColumn="0" showLastColumn="0" showRowStripes="1" showColumnStripes="0"/>
</table>
</file>

<file path=xl/tables/table3.xml><?xml version="1.0" encoding="utf-8"?>
<table xmlns="http://schemas.openxmlformats.org/spreadsheetml/2006/main" id="3" name="Table3" displayName="Table3" ref="B5:B8" totalsRowShown="0" headerRowDxfId="44" dataDxfId="45">
  <autoFilter ref="B5:B8"/>
  <tableColumns count="1">
    <tableColumn id="1" name="Grade" dataDxfId="46"/>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1:B15" totalsRowShown="0" headerRowDxfId="36" dataDxfId="37" headerRowBorderDxfId="40" tableBorderDxfId="41" totalsRowBorderDxfId="39" headerRowCellStyle="Hyperlink" dataCellStyle="Hyperlink">
  <tableColumns count="2">
    <tableColumn id="1" name="email" dataDxfId="38" dataCellStyle="Hyperlink"/>
    <tableColumn id="2" name="Name" dataDxfId="35" dataCellStyle="Hyperlink"/>
  </tableColumns>
  <tableStyleInfo name="TableStyleLight18" showFirstColumn="0" showLastColumn="0" showRowStripes="1" showColumnStripes="0"/>
</table>
</file>

<file path=xl/tables/table5.xml><?xml version="1.0" encoding="utf-8"?>
<table xmlns="http://schemas.openxmlformats.org/spreadsheetml/2006/main" id="6" name="Table27" displayName="Table27" ref="A3:I17" totalsRowShown="0" headerRowDxfId="29" dataDxfId="28" headerRowBorderDxfId="26" tableBorderDxfId="27" totalsRowBorderDxfId="25">
  <tableColumns count="9">
    <tableColumn id="1" name="Name " dataDxfId="24" dataCellStyle="Normal"/>
    <tableColumn id="2" name="Gender " dataDxfId="23"/>
    <tableColumn id="3" name="Age " dataDxfId="22"/>
    <tableColumn id="4" name="Class" dataDxfId="21"/>
    <tableColumn id="5" name="House " dataDxfId="20"/>
    <tableColumn id="6" name="Unit Test 1" dataDxfId="19"/>
    <tableColumn id="7" name="Unit Test 2" dataDxfId="18"/>
    <tableColumn id="8" name="Final Test" dataDxfId="17"/>
    <tableColumn id="9" name="email" dataDxfId="16" dataCellStyle="Hyperlink">
      <calculatedColumnFormula>CONCATENATE(A4, "@mail.com")</calculatedColumnFormula>
    </tableColumn>
  </tableColumns>
  <tableStyleInfo name="TableStyleLight18" showFirstColumn="0" showLastColumn="0" showRowStripes="1" showColumnStripes="0"/>
</table>
</file>

<file path=xl/tables/table6.xml><?xml version="1.0" encoding="utf-8"?>
<table xmlns="http://schemas.openxmlformats.org/spreadsheetml/2006/main" id="7" name="Table7" displayName="Table7" ref="K3:L9" totalsRowShown="0" headerRowBorderDxfId="33" tableBorderDxfId="34" totalsRowBorderDxfId="32">
  <tableColumns count="2">
    <tableColumn id="1" name="Name " dataDxfId="31"/>
    <tableColumn id="2" name="Final Test" dataDxfId="30"/>
  </tableColumns>
  <tableStyleInfo name="TableStyleLight18" showFirstColumn="0" showLastColumn="0" showRowStripes="1" showColumnStripes="0"/>
</table>
</file>

<file path=xl/tables/table7.xml><?xml version="1.0" encoding="utf-8"?>
<table xmlns="http://schemas.openxmlformats.org/spreadsheetml/2006/main" id="8" name="Table8" displayName="Table8" ref="A3:J17" totalsRowShown="0" headerRowDxfId="14" dataDxfId="13" headerRowBorderDxfId="11" tableBorderDxfId="12" totalsRowBorderDxfId="10">
  <tableColumns count="10">
    <tableColumn id="1" name="Name " dataDxfId="9"/>
    <tableColumn id="2" name="Gender " dataDxfId="8"/>
    <tableColumn id="3" name="Age " dataDxfId="7"/>
    <tableColumn id="4" name="Class" dataDxfId="6"/>
    <tableColumn id="5" name="House " dataDxfId="5"/>
    <tableColumn id="6" name="Unit Test 1" dataDxfId="4"/>
    <tableColumn id="7" name="Unit Test 2" dataDxfId="3"/>
    <tableColumn id="8" name="Final Test" dataDxfId="2"/>
    <tableColumn id="9" name="email" dataDxfId="1"/>
    <tableColumn id="10" name="Half Yr Test"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drawing" Target="../drawings/drawing1.xml"/><Relationship Id="rId5" Type="http://schemas.openxmlformats.org/officeDocument/2006/relationships/comments" Target="../comments2.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selection activeCell="B14" sqref="B14"/>
    </sheetView>
  </sheetViews>
  <sheetFormatPr defaultRowHeight="18.5" x14ac:dyDescent="0.45"/>
  <cols>
    <col min="1" max="1" width="8.90625" style="1" customWidth="1"/>
    <col min="2" max="2" width="12.08984375" style="1" bestFit="1" customWidth="1"/>
    <col min="3" max="3" width="12.26953125" style="1" bestFit="1" customWidth="1"/>
    <col min="4" max="4" width="21.453125" style="2" bestFit="1" customWidth="1"/>
    <col min="5" max="5" width="8.36328125" style="2" bestFit="1" customWidth="1"/>
    <col min="6" max="6" width="8.7265625" style="1" bestFit="1" customWidth="1"/>
    <col min="7" max="7" width="9.26953125" style="1" bestFit="1" customWidth="1"/>
    <col min="8" max="8" width="10.08984375" style="1" bestFit="1" customWidth="1"/>
    <col min="9" max="9" width="9.26953125" style="1" bestFit="1" customWidth="1"/>
    <col min="10" max="10" width="16.54296875" style="1" bestFit="1" customWidth="1"/>
    <col min="11" max="16384" width="8.7265625" style="1"/>
  </cols>
  <sheetData>
    <row r="1" spans="1:10" x14ac:dyDescent="0.45">
      <c r="A1" s="20" t="s">
        <v>20</v>
      </c>
      <c r="B1" s="20"/>
      <c r="C1" s="20"/>
      <c r="D1" s="20"/>
      <c r="E1" s="20"/>
      <c r="F1" s="20"/>
      <c r="G1" s="20"/>
      <c r="H1" s="20"/>
      <c r="I1" s="20"/>
      <c r="J1" s="20"/>
    </row>
    <row r="2" spans="1:10" x14ac:dyDescent="0.45">
      <c r="A2" s="20"/>
      <c r="B2" s="20"/>
      <c r="C2" s="20"/>
      <c r="D2" s="20"/>
      <c r="E2" s="20"/>
      <c r="F2" s="20"/>
      <c r="G2" s="20"/>
      <c r="H2" s="20"/>
      <c r="I2" s="20"/>
      <c r="J2" s="20"/>
    </row>
    <row r="4" spans="1:10" x14ac:dyDescent="0.45">
      <c r="A4" s="3" t="s">
        <v>0</v>
      </c>
      <c r="B4" s="3" t="s">
        <v>1</v>
      </c>
      <c r="C4" s="3" t="s">
        <v>2</v>
      </c>
      <c r="D4" s="4" t="s">
        <v>3</v>
      </c>
      <c r="E4" s="4" t="s">
        <v>4</v>
      </c>
      <c r="F4" s="3" t="s">
        <v>6</v>
      </c>
      <c r="G4" s="3" t="s">
        <v>5</v>
      </c>
      <c r="H4" s="4" t="s">
        <v>7</v>
      </c>
      <c r="I4" s="4" t="s">
        <v>8</v>
      </c>
      <c r="J4" s="3" t="s">
        <v>9</v>
      </c>
    </row>
    <row r="5" spans="1:10" x14ac:dyDescent="0.45">
      <c r="A5" s="5">
        <v>1</v>
      </c>
      <c r="B5" s="6" t="s">
        <v>10</v>
      </c>
      <c r="C5" s="6" t="s">
        <v>15</v>
      </c>
      <c r="D5" s="7">
        <v>42030</v>
      </c>
      <c r="E5" s="5">
        <v>1500</v>
      </c>
      <c r="F5" s="5">
        <v>1200</v>
      </c>
      <c r="G5" s="5">
        <v>1500</v>
      </c>
      <c r="H5" s="5">
        <f>SUM(E5, F5, G5)</f>
        <v>4200</v>
      </c>
      <c r="I5" s="8">
        <f>AVERAGE(E5:G5)</f>
        <v>1400</v>
      </c>
      <c r="J5" s="6" t="str">
        <f>CONCATENATE(B5, " ", C5)</f>
        <v>RNM KUMAR</v>
      </c>
    </row>
    <row r="6" spans="1:10" x14ac:dyDescent="0.45">
      <c r="A6" s="5">
        <v>2</v>
      </c>
      <c r="B6" s="6" t="s">
        <v>11</v>
      </c>
      <c r="C6" s="6" t="s">
        <v>16</v>
      </c>
      <c r="D6" s="7">
        <v>42954</v>
      </c>
      <c r="E6" s="5">
        <v>1700</v>
      </c>
      <c r="F6" s="5">
        <v>1800</v>
      </c>
      <c r="G6" s="5">
        <v>2000</v>
      </c>
      <c r="H6" s="5">
        <f>SUM(E6, F6, G6)</f>
        <v>5500</v>
      </c>
      <c r="I6" s="8">
        <f>AVERAGE(E6:G6)</f>
        <v>1833.3333333333333</v>
      </c>
      <c r="J6" s="6" t="str">
        <f>CONCATENATE(B6, " ", C6)</f>
        <v>GOPAL VERMA</v>
      </c>
    </row>
    <row r="7" spans="1:10" x14ac:dyDescent="0.45">
      <c r="A7" s="5">
        <v>3</v>
      </c>
      <c r="B7" s="6" t="s">
        <v>12</v>
      </c>
      <c r="C7" s="6" t="s">
        <v>17</v>
      </c>
      <c r="D7" s="7">
        <v>40976</v>
      </c>
      <c r="E7" s="5">
        <v>1800</v>
      </c>
      <c r="F7" s="5">
        <v>1500</v>
      </c>
      <c r="G7" s="5">
        <v>1900</v>
      </c>
      <c r="H7" s="5">
        <f>SUM(E7, F7, G7)</f>
        <v>5200</v>
      </c>
      <c r="I7" s="8">
        <f>AVERAGE(E7:G7)</f>
        <v>1733.3333333333333</v>
      </c>
      <c r="J7" s="6" t="str">
        <f>CONCATENATE(B7, " ", C7)</f>
        <v>JOSEPH PAUL</v>
      </c>
    </row>
    <row r="8" spans="1:10" x14ac:dyDescent="0.45">
      <c r="A8" s="5">
        <v>4</v>
      </c>
      <c r="B8" s="6" t="s">
        <v>13</v>
      </c>
      <c r="C8" s="6" t="s">
        <v>18</v>
      </c>
      <c r="D8" s="7">
        <v>43402</v>
      </c>
      <c r="E8" s="5">
        <v>1200</v>
      </c>
      <c r="F8" s="5">
        <v>1500</v>
      </c>
      <c r="G8" s="5">
        <v>1800</v>
      </c>
      <c r="H8" s="5">
        <f>SUM(E8, F8, G8)</f>
        <v>4500</v>
      </c>
      <c r="I8" s="8">
        <f>AVERAGE(E8:G8)</f>
        <v>1500</v>
      </c>
      <c r="J8" s="6" t="str">
        <f>CONCATENATE(B8, " ", C8)</f>
        <v>HARI SINGH</v>
      </c>
    </row>
    <row r="9" spans="1:10" x14ac:dyDescent="0.45">
      <c r="A9" s="5">
        <v>5</v>
      </c>
      <c r="B9" s="6" t="s">
        <v>14</v>
      </c>
      <c r="C9" s="6" t="s">
        <v>19</v>
      </c>
      <c r="D9" s="7">
        <v>44077</v>
      </c>
      <c r="E9" s="5">
        <v>2000</v>
      </c>
      <c r="F9" s="5">
        <v>2500</v>
      </c>
      <c r="G9" s="5">
        <v>2900</v>
      </c>
      <c r="H9" s="5">
        <f>SUM(E9, F9, G9)</f>
        <v>7400</v>
      </c>
      <c r="I9" s="8">
        <f>AVERAGE(E9:G9)</f>
        <v>2466.6666666666665</v>
      </c>
      <c r="J9" s="6" t="str">
        <f>CONCATENATE(B9, " ", C9)</f>
        <v>RAJA RAM</v>
      </c>
    </row>
    <row r="12" spans="1:10" x14ac:dyDescent="0.45">
      <c r="B12" s="11" t="s">
        <v>21</v>
      </c>
    </row>
    <row r="15" spans="1:10" ht="19" thickBot="1" x14ac:dyDescent="0.5">
      <c r="F15" s="10"/>
    </row>
    <row r="17" spans="5:5" x14ac:dyDescent="0.45">
      <c r="E17" s="9"/>
    </row>
  </sheetData>
  <mergeCells count="1">
    <mergeCell ref="A1:J2"/>
  </mergeCells>
  <conditionalFormatting sqref="H5:H9">
    <cfRule type="colorScale" priority="4">
      <colorScale>
        <cfvo type="min"/>
        <cfvo type="percentile" val="50"/>
        <cfvo type="max"/>
        <color rgb="FFF8696B"/>
        <color rgb="FFFFEB84"/>
        <color rgb="FF63BE7B"/>
      </colorScale>
    </cfRule>
  </conditionalFormatting>
  <conditionalFormatting sqref="J5:J9">
    <cfRule type="duplicateValues" dxfId="15"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E6" sqref="E6"/>
    </sheetView>
  </sheetViews>
  <sheetFormatPr defaultRowHeight="18.5" x14ac:dyDescent="0.45"/>
  <cols>
    <col min="1" max="1" width="11.08984375" style="1" bestFit="1" customWidth="1"/>
    <col min="2" max="2" width="8.7265625" style="1"/>
    <col min="3" max="3" width="11.36328125" style="1" bestFit="1" customWidth="1"/>
    <col min="4" max="4" width="14.54296875" style="1" bestFit="1" customWidth="1"/>
    <col min="5" max="16384" width="8.7265625" style="1"/>
  </cols>
  <sheetData>
    <row r="1" spans="1:4" x14ac:dyDescent="0.45">
      <c r="A1" s="1" t="s">
        <v>22</v>
      </c>
      <c r="B1" s="1" t="s">
        <v>23</v>
      </c>
      <c r="C1" s="1" t="s">
        <v>24</v>
      </c>
      <c r="D1" s="1" t="s">
        <v>25</v>
      </c>
    </row>
    <row r="2" spans="1:4" x14ac:dyDescent="0.45">
      <c r="A2" s="12">
        <v>1.0333300000000001</v>
      </c>
      <c r="B2" s="12">
        <f>ROUND(A2, 0)</f>
        <v>1</v>
      </c>
      <c r="C2" s="12">
        <f>ROUNDUP(A2, 0)</f>
        <v>2</v>
      </c>
      <c r="D2" s="12">
        <f>ROUNDDOWN(A2, 0)</f>
        <v>1</v>
      </c>
    </row>
    <row r="3" spans="1:4" x14ac:dyDescent="0.45">
      <c r="A3" s="1">
        <v>2.0554999999999999</v>
      </c>
      <c r="B3" s="12">
        <f t="shared" ref="B3:B6" si="0">ROUND(A3, 0)</f>
        <v>2</v>
      </c>
      <c r="C3" s="12">
        <f t="shared" ref="C3:C6" si="1">ROUNDUP(A3, 0)</f>
        <v>3</v>
      </c>
      <c r="D3" s="12">
        <f t="shared" ref="D3:D6" si="2">ROUNDDOWN(A3, 0)</f>
        <v>2</v>
      </c>
    </row>
    <row r="4" spans="1:4" x14ac:dyDescent="0.45">
      <c r="A4" s="1">
        <v>2.9999899999999999</v>
      </c>
      <c r="B4" s="12">
        <f t="shared" si="0"/>
        <v>3</v>
      </c>
      <c r="C4" s="12">
        <f t="shared" si="1"/>
        <v>3</v>
      </c>
      <c r="D4" s="12">
        <f t="shared" si="2"/>
        <v>2</v>
      </c>
    </row>
    <row r="5" spans="1:4" x14ac:dyDescent="0.45">
      <c r="A5" s="1">
        <v>8.9565000000000001</v>
      </c>
      <c r="B5" s="12">
        <f t="shared" si="0"/>
        <v>9</v>
      </c>
      <c r="C5" s="12">
        <f t="shared" si="1"/>
        <v>9</v>
      </c>
      <c r="D5" s="12">
        <f t="shared" si="2"/>
        <v>8</v>
      </c>
    </row>
    <row r="6" spans="1:4" x14ac:dyDescent="0.45">
      <c r="A6" s="1">
        <v>4.556</v>
      </c>
      <c r="B6" s="12">
        <f t="shared" si="0"/>
        <v>5</v>
      </c>
      <c r="C6" s="12">
        <f t="shared" si="1"/>
        <v>5</v>
      </c>
      <c r="D6" s="12">
        <f t="shared" si="2"/>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14"/>
  <sheetViews>
    <sheetView workbookViewId="0">
      <selection activeCell="F17" sqref="F17"/>
    </sheetView>
  </sheetViews>
  <sheetFormatPr defaultRowHeight="18.5" x14ac:dyDescent="0.45"/>
  <cols>
    <col min="1" max="1" width="8.7265625" style="1"/>
    <col min="2" max="2" width="12.453125" style="1" bestFit="1" customWidth="1"/>
    <col min="3" max="3" width="13.36328125" style="1" bestFit="1" customWidth="1"/>
    <col min="4" max="16384" width="8.7265625" style="1"/>
  </cols>
  <sheetData>
    <row r="3" spans="2:11" x14ac:dyDescent="0.45">
      <c r="B3" s="1" t="s">
        <v>26</v>
      </c>
      <c r="C3" s="1" t="s">
        <v>38</v>
      </c>
      <c r="E3" s="1" t="s">
        <v>45</v>
      </c>
      <c r="F3" s="1" t="s">
        <v>56</v>
      </c>
      <c r="H3" s="1">
        <v>1</v>
      </c>
      <c r="I3" s="1">
        <v>1</v>
      </c>
      <c r="J3" s="1">
        <v>2</v>
      </c>
      <c r="K3" s="1">
        <v>3</v>
      </c>
    </row>
    <row r="4" spans="2:11" x14ac:dyDescent="0.45">
      <c r="B4" s="1" t="s">
        <v>27</v>
      </c>
      <c r="C4" s="1" t="s">
        <v>39</v>
      </c>
      <c r="E4" s="1" t="s">
        <v>46</v>
      </c>
      <c r="F4" s="1" t="s">
        <v>57</v>
      </c>
      <c r="H4" s="1">
        <v>1</v>
      </c>
      <c r="I4" s="1">
        <v>2</v>
      </c>
      <c r="J4" s="1">
        <v>4</v>
      </c>
      <c r="K4" s="1">
        <v>6</v>
      </c>
    </row>
    <row r="5" spans="2:11" x14ac:dyDescent="0.45">
      <c r="B5" s="1" t="s">
        <v>28</v>
      </c>
      <c r="C5" s="1" t="s">
        <v>40</v>
      </c>
      <c r="E5" s="1" t="s">
        <v>47</v>
      </c>
      <c r="F5" s="1" t="s">
        <v>58</v>
      </c>
      <c r="H5" s="1">
        <v>1</v>
      </c>
      <c r="I5" s="1">
        <v>3</v>
      </c>
      <c r="J5" s="1">
        <v>6</v>
      </c>
      <c r="K5" s="1">
        <v>9</v>
      </c>
    </row>
    <row r="6" spans="2:11" x14ac:dyDescent="0.45">
      <c r="B6" s="1" t="s">
        <v>29</v>
      </c>
      <c r="C6" s="1" t="s">
        <v>41</v>
      </c>
      <c r="E6" s="1" t="s">
        <v>48</v>
      </c>
      <c r="F6" s="1" t="s">
        <v>59</v>
      </c>
      <c r="H6" s="1">
        <v>1</v>
      </c>
      <c r="I6" s="1">
        <v>4</v>
      </c>
      <c r="J6" s="1">
        <v>8</v>
      </c>
      <c r="K6" s="1">
        <v>12</v>
      </c>
    </row>
    <row r="7" spans="2:11" x14ac:dyDescent="0.45">
      <c r="B7" s="1" t="s">
        <v>30</v>
      </c>
      <c r="C7" s="1" t="s">
        <v>42</v>
      </c>
      <c r="E7" s="1" t="s">
        <v>30</v>
      </c>
      <c r="F7" s="1" t="s">
        <v>60</v>
      </c>
      <c r="H7" s="1">
        <v>1</v>
      </c>
      <c r="I7" s="1">
        <v>5</v>
      </c>
      <c r="J7" s="1">
        <v>10</v>
      </c>
      <c r="K7" s="1">
        <v>15</v>
      </c>
    </row>
    <row r="8" spans="2:11" x14ac:dyDescent="0.45">
      <c r="B8" s="1" t="s">
        <v>31</v>
      </c>
      <c r="C8" s="1" t="s">
        <v>43</v>
      </c>
      <c r="E8" s="1" t="s">
        <v>49</v>
      </c>
      <c r="F8" s="1" t="s">
        <v>61</v>
      </c>
      <c r="H8" s="1">
        <v>1</v>
      </c>
      <c r="I8" s="1">
        <v>6</v>
      </c>
      <c r="J8" s="1">
        <v>12</v>
      </c>
      <c r="K8" s="1">
        <v>18</v>
      </c>
    </row>
    <row r="9" spans="2:11" x14ac:dyDescent="0.45">
      <c r="B9" s="1" t="s">
        <v>32</v>
      </c>
      <c r="C9" s="1" t="s">
        <v>44</v>
      </c>
      <c r="E9" s="1" t="s">
        <v>50</v>
      </c>
      <c r="F9" s="1" t="s">
        <v>62</v>
      </c>
      <c r="H9" s="1">
        <v>1</v>
      </c>
      <c r="I9" s="1">
        <v>7</v>
      </c>
      <c r="J9" s="1">
        <v>14</v>
      </c>
      <c r="K9" s="1">
        <v>21</v>
      </c>
    </row>
    <row r="10" spans="2:11" x14ac:dyDescent="0.45">
      <c r="B10" s="1" t="s">
        <v>33</v>
      </c>
      <c r="E10" s="1" t="s">
        <v>51</v>
      </c>
      <c r="I10" s="1">
        <v>8</v>
      </c>
      <c r="J10" s="1">
        <v>16</v>
      </c>
      <c r="K10" s="1">
        <v>24</v>
      </c>
    </row>
    <row r="11" spans="2:11" x14ac:dyDescent="0.45">
      <c r="B11" s="1" t="s">
        <v>34</v>
      </c>
      <c r="E11" s="1" t="s">
        <v>52</v>
      </c>
      <c r="I11" s="1">
        <v>9</v>
      </c>
      <c r="J11" s="1">
        <v>18</v>
      </c>
      <c r="K11" s="1">
        <v>27</v>
      </c>
    </row>
    <row r="12" spans="2:11" x14ac:dyDescent="0.45">
      <c r="B12" s="1" t="s">
        <v>35</v>
      </c>
      <c r="E12" s="1" t="s">
        <v>53</v>
      </c>
      <c r="I12" s="1">
        <v>10</v>
      </c>
      <c r="J12" s="1">
        <v>20</v>
      </c>
      <c r="K12" s="1">
        <v>30</v>
      </c>
    </row>
    <row r="13" spans="2:11" x14ac:dyDescent="0.45">
      <c r="B13" s="1" t="s">
        <v>36</v>
      </c>
      <c r="E13" s="1" t="s">
        <v>54</v>
      </c>
    </row>
    <row r="14" spans="2:11" x14ac:dyDescent="0.45">
      <c r="B14" s="1" t="s">
        <v>37</v>
      </c>
      <c r="E14" s="1" t="s">
        <v>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16"/>
  <sheetViews>
    <sheetView workbookViewId="0">
      <selection activeCell="A2" sqref="A2:I16"/>
    </sheetView>
  </sheetViews>
  <sheetFormatPr defaultRowHeight="18.5" x14ac:dyDescent="0.45"/>
  <cols>
    <col min="1" max="1" width="12.81640625" style="1" bestFit="1" customWidth="1"/>
    <col min="2" max="5" width="8.7265625" style="1"/>
    <col min="6" max="7" width="12.36328125" style="1" bestFit="1" customWidth="1"/>
    <col min="8" max="8" width="11.08984375" style="1" bestFit="1" customWidth="1"/>
    <col min="9" max="9" width="24.7265625" style="1" bestFit="1" customWidth="1"/>
    <col min="10" max="16384" width="8.7265625" style="1"/>
  </cols>
  <sheetData>
    <row r="1" spans="1:9" x14ac:dyDescent="0.45">
      <c r="A1" s="21" t="s">
        <v>63</v>
      </c>
      <c r="B1" s="22"/>
      <c r="C1" s="22"/>
      <c r="D1" s="22"/>
      <c r="E1" s="22"/>
      <c r="F1" s="22"/>
      <c r="G1" s="22"/>
      <c r="H1" s="22"/>
      <c r="I1" s="23"/>
    </row>
    <row r="2" spans="1:9" x14ac:dyDescent="0.45">
      <c r="A2" s="13" t="s">
        <v>64</v>
      </c>
      <c r="B2" s="13" t="s">
        <v>65</v>
      </c>
      <c r="C2" s="13" t="s">
        <v>66</v>
      </c>
      <c r="D2" s="13" t="s">
        <v>67</v>
      </c>
      <c r="E2" s="14" t="s">
        <v>68</v>
      </c>
      <c r="F2" s="13" t="s">
        <v>69</v>
      </c>
      <c r="G2" s="14" t="s">
        <v>70</v>
      </c>
      <c r="H2" s="14" t="s">
        <v>71</v>
      </c>
      <c r="I2" s="15" t="s">
        <v>72</v>
      </c>
    </row>
    <row r="3" spans="1:9" x14ac:dyDescent="0.45">
      <c r="A3" s="5" t="s">
        <v>73</v>
      </c>
      <c r="B3" s="5" t="s">
        <v>74</v>
      </c>
      <c r="C3" s="5">
        <v>16</v>
      </c>
      <c r="D3" s="5">
        <v>10</v>
      </c>
      <c r="E3" s="6" t="s">
        <v>75</v>
      </c>
      <c r="F3" s="5">
        <v>84</v>
      </c>
      <c r="G3" s="5">
        <v>79</v>
      </c>
      <c r="H3" s="5">
        <v>99</v>
      </c>
      <c r="I3" s="16" t="str">
        <f t="shared" ref="I3:I16" si="0">CONCATENATE(A3, "@mail.com")</f>
        <v>Abhimanyu@mail.com</v>
      </c>
    </row>
    <row r="4" spans="1:9" x14ac:dyDescent="0.45">
      <c r="A4" s="5" t="s">
        <v>82</v>
      </c>
      <c r="B4" s="5" t="s">
        <v>74</v>
      </c>
      <c r="C4" s="5">
        <v>11</v>
      </c>
      <c r="D4" s="5">
        <v>5</v>
      </c>
      <c r="E4" s="6" t="s">
        <v>81</v>
      </c>
      <c r="F4" s="5">
        <v>82</v>
      </c>
      <c r="G4" s="5">
        <v>83</v>
      </c>
      <c r="H4" s="5">
        <v>91</v>
      </c>
      <c r="I4" s="16" t="str">
        <f>CONCATENATE(A4, "@mail.com")</f>
        <v>Arjun@mail.com</v>
      </c>
    </row>
    <row r="5" spans="1:9" x14ac:dyDescent="0.45">
      <c r="A5" s="5" t="s">
        <v>84</v>
      </c>
      <c r="B5" s="5" t="s">
        <v>80</v>
      </c>
      <c r="C5" s="5">
        <v>15</v>
      </c>
      <c r="D5" s="5">
        <v>8</v>
      </c>
      <c r="E5" s="6" t="s">
        <v>85</v>
      </c>
      <c r="F5" s="5">
        <v>81</v>
      </c>
      <c r="G5" s="5">
        <v>78</v>
      </c>
      <c r="H5" s="5">
        <v>88</v>
      </c>
      <c r="I5" s="16" t="str">
        <f>CONCATENATE(A5, "@mail.com")</f>
        <v>Champa @mail.com</v>
      </c>
    </row>
    <row r="6" spans="1:9" x14ac:dyDescent="0.45">
      <c r="A6" s="5" t="s">
        <v>87</v>
      </c>
      <c r="B6" s="5" t="s">
        <v>74</v>
      </c>
      <c r="C6" s="5">
        <v>14</v>
      </c>
      <c r="D6" s="5">
        <v>8</v>
      </c>
      <c r="E6" s="6" t="s">
        <v>75</v>
      </c>
      <c r="F6" s="5">
        <v>70</v>
      </c>
      <c r="G6" s="5">
        <v>75</v>
      </c>
      <c r="H6" s="5">
        <v>79</v>
      </c>
      <c r="I6" s="16" t="str">
        <f>CONCATENATE(A6, "@mail.com")</f>
        <v>Gopal@mail.com</v>
      </c>
    </row>
    <row r="7" spans="1:9" x14ac:dyDescent="0.45">
      <c r="A7" s="5" t="s">
        <v>76</v>
      </c>
      <c r="B7" s="5" t="s">
        <v>80</v>
      </c>
      <c r="C7" s="5">
        <v>16</v>
      </c>
      <c r="D7" s="5">
        <v>10</v>
      </c>
      <c r="E7" s="6" t="s">
        <v>77</v>
      </c>
      <c r="F7" s="5">
        <v>88</v>
      </c>
      <c r="G7" s="5">
        <v>92</v>
      </c>
      <c r="H7" s="5">
        <v>96</v>
      </c>
      <c r="I7" s="16" t="str">
        <f t="shared" si="0"/>
        <v>Gopi@mail.com</v>
      </c>
    </row>
    <row r="8" spans="1:9" x14ac:dyDescent="0.45">
      <c r="A8" s="5" t="s">
        <v>86</v>
      </c>
      <c r="B8" s="5" t="s">
        <v>74</v>
      </c>
      <c r="C8" s="5">
        <v>16</v>
      </c>
      <c r="D8" s="5">
        <v>10</v>
      </c>
      <c r="E8" s="6" t="s">
        <v>75</v>
      </c>
      <c r="F8" s="5">
        <v>82</v>
      </c>
      <c r="G8" s="5">
        <v>81</v>
      </c>
      <c r="H8" s="5">
        <v>80</v>
      </c>
      <c r="I8" s="16" t="str">
        <f>CONCATENATE(A8, "@mail.com")</f>
        <v>Hari@mail.com</v>
      </c>
    </row>
    <row r="9" spans="1:9" x14ac:dyDescent="0.45">
      <c r="A9" s="5" t="s">
        <v>83</v>
      </c>
      <c r="B9" s="5" t="s">
        <v>80</v>
      </c>
      <c r="C9" s="5">
        <v>14</v>
      </c>
      <c r="D9" s="5">
        <v>8</v>
      </c>
      <c r="E9" s="6" t="s">
        <v>81</v>
      </c>
      <c r="F9" s="5">
        <v>90</v>
      </c>
      <c r="G9" s="5">
        <v>86</v>
      </c>
      <c r="H9" s="5">
        <v>89</v>
      </c>
      <c r="I9" s="16" t="str">
        <f>CONCATENATE(A9, "@mail.com")</f>
        <v>Indu@mail.com</v>
      </c>
    </row>
    <row r="10" spans="1:9" x14ac:dyDescent="0.45">
      <c r="A10" s="5" t="s">
        <v>78</v>
      </c>
      <c r="B10" s="5" t="s">
        <v>74</v>
      </c>
      <c r="C10" s="5">
        <v>15</v>
      </c>
      <c r="D10" s="5">
        <v>9</v>
      </c>
      <c r="E10" s="6" t="s">
        <v>77</v>
      </c>
      <c r="F10" s="5">
        <v>87</v>
      </c>
      <c r="G10" s="5">
        <v>89</v>
      </c>
      <c r="H10" s="5">
        <v>96</v>
      </c>
      <c r="I10" s="16" t="str">
        <f t="shared" si="0"/>
        <v>Keshav@mail.com</v>
      </c>
    </row>
    <row r="11" spans="1:9" x14ac:dyDescent="0.45">
      <c r="A11" s="5" t="s">
        <v>79</v>
      </c>
      <c r="B11" s="5" t="s">
        <v>80</v>
      </c>
      <c r="C11" s="5">
        <v>17</v>
      </c>
      <c r="D11" s="5">
        <v>10</v>
      </c>
      <c r="E11" s="6" t="s">
        <v>81</v>
      </c>
      <c r="F11" s="5">
        <v>70</v>
      </c>
      <c r="G11" s="5">
        <v>90</v>
      </c>
      <c r="H11" s="5">
        <v>92</v>
      </c>
      <c r="I11" s="16" t="str">
        <f t="shared" si="0"/>
        <v>Lalita@mail.com</v>
      </c>
    </row>
    <row r="12" spans="1:9" x14ac:dyDescent="0.45">
      <c r="A12" s="5" t="s">
        <v>88</v>
      </c>
      <c r="B12" s="5" t="s">
        <v>74</v>
      </c>
      <c r="C12" s="5">
        <v>12</v>
      </c>
      <c r="D12" s="5">
        <v>7</v>
      </c>
      <c r="E12" s="6" t="s">
        <v>85</v>
      </c>
      <c r="F12" s="5">
        <v>86</v>
      </c>
      <c r="G12" s="5">
        <v>92</v>
      </c>
      <c r="H12" s="5">
        <v>89</v>
      </c>
      <c r="I12" s="16" t="str">
        <f t="shared" si="0"/>
        <v>Madhav@mail.com</v>
      </c>
    </row>
    <row r="13" spans="1:9" x14ac:dyDescent="0.45">
      <c r="A13" s="5" t="s">
        <v>10</v>
      </c>
      <c r="B13" s="5" t="s">
        <v>74</v>
      </c>
      <c r="C13" s="5">
        <v>16</v>
      </c>
      <c r="D13" s="5">
        <v>10</v>
      </c>
      <c r="E13" s="6" t="s">
        <v>77</v>
      </c>
      <c r="F13" s="5">
        <v>86</v>
      </c>
      <c r="G13" s="5">
        <v>81</v>
      </c>
      <c r="H13" s="5">
        <v>77</v>
      </c>
      <c r="I13" s="16" t="str">
        <f t="shared" si="0"/>
        <v>RNM@mail.com</v>
      </c>
    </row>
    <row r="14" spans="1:9" x14ac:dyDescent="0.45">
      <c r="A14" s="5" t="s">
        <v>89</v>
      </c>
      <c r="B14" s="5" t="s">
        <v>80</v>
      </c>
      <c r="C14" s="5">
        <v>16</v>
      </c>
      <c r="D14" s="5">
        <v>10</v>
      </c>
      <c r="E14" s="6" t="s">
        <v>85</v>
      </c>
      <c r="F14" s="5">
        <v>81</v>
      </c>
      <c r="G14" s="5">
        <v>80</v>
      </c>
      <c r="H14" s="5">
        <v>87</v>
      </c>
      <c r="I14" s="16" t="str">
        <f t="shared" si="0"/>
        <v>Sudevi@mail.com</v>
      </c>
    </row>
    <row r="15" spans="1:9" x14ac:dyDescent="0.45">
      <c r="A15" s="5" t="s">
        <v>91</v>
      </c>
      <c r="B15" s="5" t="s">
        <v>80</v>
      </c>
      <c r="C15" s="5">
        <v>16</v>
      </c>
      <c r="D15" s="5">
        <v>10</v>
      </c>
      <c r="E15" s="6" t="s">
        <v>75</v>
      </c>
      <c r="F15" s="5">
        <v>70</v>
      </c>
      <c r="G15" s="5">
        <v>87</v>
      </c>
      <c r="H15" s="5">
        <v>85</v>
      </c>
      <c r="I15" s="16" t="str">
        <f t="shared" si="0"/>
        <v>Visakha@mail.com</v>
      </c>
    </row>
    <row r="16" spans="1:9" x14ac:dyDescent="0.45">
      <c r="A16" s="17" t="s">
        <v>90</v>
      </c>
      <c r="B16" s="17" t="s">
        <v>74</v>
      </c>
      <c r="C16" s="17">
        <v>14</v>
      </c>
      <c r="D16" s="17">
        <v>8</v>
      </c>
      <c r="E16" s="18" t="s">
        <v>77</v>
      </c>
      <c r="F16" s="17">
        <v>91</v>
      </c>
      <c r="G16" s="17">
        <v>96</v>
      </c>
      <c r="H16" s="17">
        <v>98</v>
      </c>
      <c r="I16" s="19" t="str">
        <f t="shared" si="0"/>
        <v>Vrinda@mail.com</v>
      </c>
    </row>
  </sheetData>
  <mergeCells count="1">
    <mergeCell ref="A1:I1"/>
  </mergeCells>
  <pageMargins left="0.7" right="0.7" top="0.75" bottom="0.75" header="0.3" footer="0.3"/>
  <pageSetup orientation="portrait"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17"/>
  <sheetViews>
    <sheetView workbookViewId="0">
      <selection activeCell="A3" sqref="A3:I17"/>
    </sheetView>
  </sheetViews>
  <sheetFormatPr defaultRowHeight="14.5" x14ac:dyDescent="0.35"/>
  <cols>
    <col min="1" max="1" width="12.81640625" bestFit="1" customWidth="1"/>
    <col min="2" max="2" width="11.1796875" customWidth="1"/>
    <col min="4" max="4" width="8.26953125" customWidth="1"/>
    <col min="5" max="5" width="10" customWidth="1"/>
    <col min="6" max="7" width="14.1796875" customWidth="1"/>
    <col min="8" max="8" width="12.90625" customWidth="1"/>
    <col min="9" max="9" width="24.7265625" bestFit="1" customWidth="1"/>
  </cols>
  <sheetData>
    <row r="1" spans="1:9" ht="18.5" x14ac:dyDescent="0.35">
      <c r="A1" s="21" t="s">
        <v>63</v>
      </c>
      <c r="B1" s="22"/>
      <c r="C1" s="22"/>
      <c r="D1" s="22"/>
      <c r="E1" s="22"/>
      <c r="F1" s="22"/>
      <c r="G1" s="22"/>
      <c r="H1" s="22"/>
      <c r="I1" s="23"/>
    </row>
    <row r="3" spans="1:9" ht="18.5" x14ac:dyDescent="0.45">
      <c r="A3" s="41" t="s">
        <v>64</v>
      </c>
      <c r="B3" s="13" t="s">
        <v>65</v>
      </c>
      <c r="C3" s="13" t="s">
        <v>66</v>
      </c>
      <c r="D3" s="13" t="s">
        <v>67</v>
      </c>
      <c r="E3" s="14" t="s">
        <v>68</v>
      </c>
      <c r="F3" s="13" t="s">
        <v>69</v>
      </c>
      <c r="G3" s="14" t="s">
        <v>70</v>
      </c>
      <c r="H3" s="14" t="s">
        <v>71</v>
      </c>
      <c r="I3" s="15" t="s">
        <v>72</v>
      </c>
    </row>
    <row r="4" spans="1:9" ht="18.5" x14ac:dyDescent="0.45">
      <c r="A4" s="31" t="s">
        <v>73</v>
      </c>
      <c r="B4" s="5" t="s">
        <v>74</v>
      </c>
      <c r="C4" s="5">
        <v>16</v>
      </c>
      <c r="D4" s="5">
        <v>10</v>
      </c>
      <c r="E4" s="6" t="s">
        <v>75</v>
      </c>
      <c r="F4" s="5">
        <v>84</v>
      </c>
      <c r="G4" s="5">
        <v>79</v>
      </c>
      <c r="H4" s="5">
        <v>99</v>
      </c>
      <c r="I4" s="33" t="str">
        <f t="shared" ref="I4:I17" si="0">CONCATENATE(A4, "@mail.com")</f>
        <v>Abhimanyu@mail.com</v>
      </c>
    </row>
    <row r="5" spans="1:9" ht="18.5" x14ac:dyDescent="0.45">
      <c r="A5" s="32" t="s">
        <v>82</v>
      </c>
      <c r="B5" s="24" t="s">
        <v>74</v>
      </c>
      <c r="C5" s="24">
        <v>11</v>
      </c>
      <c r="D5" s="24">
        <v>5</v>
      </c>
      <c r="E5" s="25" t="s">
        <v>81</v>
      </c>
      <c r="F5" s="24">
        <v>82</v>
      </c>
      <c r="G5" s="24">
        <v>83</v>
      </c>
      <c r="H5" s="24">
        <v>91</v>
      </c>
      <c r="I5" s="34" t="str">
        <f t="shared" si="0"/>
        <v>Arjun@mail.com</v>
      </c>
    </row>
    <row r="6" spans="1:9" ht="18.5" x14ac:dyDescent="0.45">
      <c r="A6" s="31" t="s">
        <v>84</v>
      </c>
      <c r="B6" s="5" t="s">
        <v>80</v>
      </c>
      <c r="C6" s="5">
        <v>15</v>
      </c>
      <c r="D6" s="5">
        <v>8</v>
      </c>
      <c r="E6" s="6" t="s">
        <v>85</v>
      </c>
      <c r="F6" s="5">
        <v>81</v>
      </c>
      <c r="G6" s="5">
        <v>78</v>
      </c>
      <c r="H6" s="5">
        <v>88</v>
      </c>
      <c r="I6" s="33" t="str">
        <f t="shared" si="0"/>
        <v>Champa @mail.com</v>
      </c>
    </row>
    <row r="7" spans="1:9" ht="18.5" x14ac:dyDescent="0.45">
      <c r="A7" s="32" t="s">
        <v>87</v>
      </c>
      <c r="B7" s="24" t="s">
        <v>74</v>
      </c>
      <c r="C7" s="24">
        <v>14</v>
      </c>
      <c r="D7" s="24">
        <v>8</v>
      </c>
      <c r="E7" s="25" t="s">
        <v>75</v>
      </c>
      <c r="F7" s="24">
        <v>70</v>
      </c>
      <c r="G7" s="24">
        <v>75</v>
      </c>
      <c r="H7" s="24">
        <v>79</v>
      </c>
      <c r="I7" s="34" t="str">
        <f t="shared" si="0"/>
        <v>Gopal@mail.com</v>
      </c>
    </row>
    <row r="8" spans="1:9" ht="18.5" x14ac:dyDescent="0.45">
      <c r="A8" s="31" t="s">
        <v>76</v>
      </c>
      <c r="B8" s="5" t="s">
        <v>80</v>
      </c>
      <c r="C8" s="5">
        <v>16</v>
      </c>
      <c r="D8" s="5">
        <v>10</v>
      </c>
      <c r="E8" s="6" t="s">
        <v>77</v>
      </c>
      <c r="F8" s="5">
        <v>88</v>
      </c>
      <c r="G8" s="5">
        <v>92</v>
      </c>
      <c r="H8" s="5">
        <v>96</v>
      </c>
      <c r="I8" s="33" t="str">
        <f t="shared" si="0"/>
        <v>Gopi@mail.com</v>
      </c>
    </row>
    <row r="9" spans="1:9" ht="18.5" x14ac:dyDescent="0.45">
      <c r="A9" s="32" t="s">
        <v>86</v>
      </c>
      <c r="B9" s="24" t="s">
        <v>74</v>
      </c>
      <c r="C9" s="24">
        <v>16</v>
      </c>
      <c r="D9" s="24">
        <v>10</v>
      </c>
      <c r="E9" s="25" t="s">
        <v>75</v>
      </c>
      <c r="F9" s="24">
        <v>82</v>
      </c>
      <c r="G9" s="24">
        <v>81</v>
      </c>
      <c r="H9" s="24">
        <v>80</v>
      </c>
      <c r="I9" s="34" t="str">
        <f t="shared" si="0"/>
        <v>Hari@mail.com</v>
      </c>
    </row>
    <row r="10" spans="1:9" ht="18.5" x14ac:dyDescent="0.45">
      <c r="A10" s="31" t="s">
        <v>83</v>
      </c>
      <c r="B10" s="5" t="s">
        <v>80</v>
      </c>
      <c r="C10" s="5">
        <v>14</v>
      </c>
      <c r="D10" s="5">
        <v>8</v>
      </c>
      <c r="E10" s="6" t="s">
        <v>81</v>
      </c>
      <c r="F10" s="5">
        <v>90</v>
      </c>
      <c r="G10" s="5">
        <v>86</v>
      </c>
      <c r="H10" s="5">
        <v>89</v>
      </c>
      <c r="I10" s="33" t="str">
        <f t="shared" si="0"/>
        <v>Indu@mail.com</v>
      </c>
    </row>
    <row r="11" spans="1:9" ht="18.5" x14ac:dyDescent="0.45">
      <c r="A11" s="32" t="s">
        <v>78</v>
      </c>
      <c r="B11" s="24" t="s">
        <v>74</v>
      </c>
      <c r="C11" s="24">
        <v>15</v>
      </c>
      <c r="D11" s="24">
        <v>9</v>
      </c>
      <c r="E11" s="25" t="s">
        <v>77</v>
      </c>
      <c r="F11" s="24">
        <v>87</v>
      </c>
      <c r="G11" s="24">
        <v>89</v>
      </c>
      <c r="H11" s="24">
        <v>96</v>
      </c>
      <c r="I11" s="34" t="str">
        <f t="shared" si="0"/>
        <v>Keshav@mail.com</v>
      </c>
    </row>
    <row r="12" spans="1:9" ht="18.5" x14ac:dyDescent="0.45">
      <c r="A12" s="31" t="s">
        <v>79</v>
      </c>
      <c r="B12" s="5" t="s">
        <v>80</v>
      </c>
      <c r="C12" s="5">
        <v>17</v>
      </c>
      <c r="D12" s="5">
        <v>10</v>
      </c>
      <c r="E12" s="6" t="s">
        <v>81</v>
      </c>
      <c r="F12" s="5">
        <v>70</v>
      </c>
      <c r="G12" s="5">
        <v>90</v>
      </c>
      <c r="H12" s="5">
        <v>92</v>
      </c>
      <c r="I12" s="33" t="str">
        <f t="shared" si="0"/>
        <v>Lalita@mail.com</v>
      </c>
    </row>
    <row r="13" spans="1:9" ht="18.5" x14ac:dyDescent="0.45">
      <c r="A13" s="32" t="s">
        <v>88</v>
      </c>
      <c r="B13" s="24" t="s">
        <v>74</v>
      </c>
      <c r="C13" s="24">
        <v>12</v>
      </c>
      <c r="D13" s="24">
        <v>7</v>
      </c>
      <c r="E13" s="25" t="s">
        <v>85</v>
      </c>
      <c r="F13" s="24">
        <v>86</v>
      </c>
      <c r="G13" s="24">
        <v>92</v>
      </c>
      <c r="H13" s="24">
        <v>89</v>
      </c>
      <c r="I13" s="34" t="str">
        <f t="shared" si="0"/>
        <v>Madhav@mail.com</v>
      </c>
    </row>
    <row r="14" spans="1:9" ht="18.5" x14ac:dyDescent="0.45">
      <c r="A14" s="31" t="s">
        <v>10</v>
      </c>
      <c r="B14" s="5" t="s">
        <v>74</v>
      </c>
      <c r="C14" s="5">
        <v>16</v>
      </c>
      <c r="D14" s="5">
        <v>10</v>
      </c>
      <c r="E14" s="6" t="s">
        <v>77</v>
      </c>
      <c r="F14" s="5">
        <v>86</v>
      </c>
      <c r="G14" s="5">
        <v>81</v>
      </c>
      <c r="H14" s="5">
        <v>77</v>
      </c>
      <c r="I14" s="33" t="str">
        <f t="shared" si="0"/>
        <v>RNM@mail.com</v>
      </c>
    </row>
    <row r="15" spans="1:9" ht="18.5" x14ac:dyDescent="0.45">
      <c r="A15" s="32" t="s">
        <v>89</v>
      </c>
      <c r="B15" s="24" t="s">
        <v>80</v>
      </c>
      <c r="C15" s="24">
        <v>16</v>
      </c>
      <c r="D15" s="24">
        <v>10</v>
      </c>
      <c r="E15" s="25" t="s">
        <v>85</v>
      </c>
      <c r="F15" s="24">
        <v>81</v>
      </c>
      <c r="G15" s="24">
        <v>80</v>
      </c>
      <c r="H15" s="24">
        <v>87</v>
      </c>
      <c r="I15" s="34" t="str">
        <f t="shared" si="0"/>
        <v>Sudevi@mail.com</v>
      </c>
    </row>
    <row r="16" spans="1:9" ht="18.5" x14ac:dyDescent="0.45">
      <c r="A16" s="31" t="s">
        <v>91</v>
      </c>
      <c r="B16" s="5" t="s">
        <v>80</v>
      </c>
      <c r="C16" s="5">
        <v>16</v>
      </c>
      <c r="D16" s="5">
        <v>10</v>
      </c>
      <c r="E16" s="6" t="s">
        <v>75</v>
      </c>
      <c r="F16" s="5">
        <v>70</v>
      </c>
      <c r="G16" s="5">
        <v>87</v>
      </c>
      <c r="H16" s="5">
        <v>85</v>
      </c>
      <c r="I16" s="33" t="str">
        <f t="shared" si="0"/>
        <v>Visakha@mail.com</v>
      </c>
    </row>
    <row r="17" spans="1:9" ht="18.5" x14ac:dyDescent="0.45">
      <c r="A17" s="36" t="s">
        <v>90</v>
      </c>
      <c r="B17" s="37" t="s">
        <v>74</v>
      </c>
      <c r="C17" s="37">
        <v>14</v>
      </c>
      <c r="D17" s="37">
        <v>8</v>
      </c>
      <c r="E17" s="38" t="s">
        <v>77</v>
      </c>
      <c r="F17" s="37">
        <v>91</v>
      </c>
      <c r="G17" s="37">
        <v>96</v>
      </c>
      <c r="H17" s="37">
        <v>98</v>
      </c>
      <c r="I17" s="39" t="str">
        <f t="shared" si="0"/>
        <v>Vrinda@mail.com</v>
      </c>
    </row>
  </sheetData>
  <mergeCells count="1">
    <mergeCell ref="A1:I1"/>
  </mergeCells>
  <hyperlinks>
    <hyperlink ref="A4:A17" location="Names!A1" display="Name "/>
    <hyperlink ref="A3" location="Names!A1" display="Name "/>
  </hyperlinks>
  <pageMargins left="0.7" right="0.7" top="0.75" bottom="0.75" header="0.3" footer="0.3"/>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
  <sheetViews>
    <sheetView workbookViewId="0"/>
  </sheetViews>
  <sheetFormatPr defaultRowHeight="14.5" x14ac:dyDescent="0.35"/>
  <cols>
    <col min="1" max="1" width="12.81640625" bestFit="1" customWidth="1"/>
  </cols>
  <sheetData>
    <row r="1" spans="1:1" ht="18.5" x14ac:dyDescent="0.45">
      <c r="A1" s="27" t="s">
        <v>64</v>
      </c>
    </row>
    <row r="2" spans="1:1" ht="18.5" x14ac:dyDescent="0.45">
      <c r="A2" s="40" t="s">
        <v>73</v>
      </c>
    </row>
    <row r="3" spans="1:1" ht="18.5" x14ac:dyDescent="0.45">
      <c r="A3" s="29" t="s">
        <v>82</v>
      </c>
    </row>
    <row r="4" spans="1:1" ht="18.5" x14ac:dyDescent="0.45">
      <c r="A4" s="40" t="s">
        <v>84</v>
      </c>
    </row>
    <row r="5" spans="1:1" ht="18.5" x14ac:dyDescent="0.45">
      <c r="A5" s="29" t="s">
        <v>87</v>
      </c>
    </row>
    <row r="6" spans="1:1" ht="18.5" x14ac:dyDescent="0.45">
      <c r="A6" s="40" t="s">
        <v>76</v>
      </c>
    </row>
    <row r="7" spans="1:1" ht="18.5" x14ac:dyDescent="0.45">
      <c r="A7" s="29" t="s">
        <v>86</v>
      </c>
    </row>
    <row r="8" spans="1:1" ht="18.5" x14ac:dyDescent="0.45">
      <c r="A8" s="40" t="s">
        <v>83</v>
      </c>
    </row>
    <row r="9" spans="1:1" ht="18.5" x14ac:dyDescent="0.45">
      <c r="A9" s="29" t="s">
        <v>78</v>
      </c>
    </row>
    <row r="10" spans="1:1" ht="18.5" x14ac:dyDescent="0.45">
      <c r="A10" s="40" t="s">
        <v>79</v>
      </c>
    </row>
    <row r="11" spans="1:1" ht="18.5" x14ac:dyDescent="0.45">
      <c r="A11" s="29" t="s">
        <v>88</v>
      </c>
    </row>
    <row r="12" spans="1:1" ht="18.5" x14ac:dyDescent="0.45">
      <c r="A12" s="40" t="s">
        <v>10</v>
      </c>
    </row>
    <row r="13" spans="1:1" ht="18.5" x14ac:dyDescent="0.45">
      <c r="A13" s="29" t="s">
        <v>89</v>
      </c>
    </row>
    <row r="14" spans="1:1" ht="18.5" x14ac:dyDescent="0.45">
      <c r="A14" s="40" t="s">
        <v>91</v>
      </c>
    </row>
    <row r="15" spans="1:1" ht="18.5" x14ac:dyDescent="0.45">
      <c r="A15" s="30" t="s">
        <v>90</v>
      </c>
    </row>
  </sheetData>
  <hyperlinks>
    <hyperlink ref="A2:A15" location="Names!A1" display="Name "/>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F10"/>
  <sheetViews>
    <sheetView workbookViewId="0">
      <selection activeCell="C13" sqref="C13"/>
    </sheetView>
  </sheetViews>
  <sheetFormatPr defaultRowHeight="18.5" x14ac:dyDescent="0.45"/>
  <cols>
    <col min="1" max="1" width="8.7265625" style="1"/>
    <col min="2" max="2" width="11.1796875" style="1" customWidth="1"/>
    <col min="3" max="4" width="8.7265625" style="1"/>
    <col min="5" max="5" width="12.81640625" style="1" bestFit="1" customWidth="1"/>
    <col min="6" max="6" width="12" style="1" customWidth="1"/>
    <col min="7" max="16384" width="8.7265625" style="1"/>
  </cols>
  <sheetData>
    <row r="3" spans="2:6" x14ac:dyDescent="0.45">
      <c r="E3" s="27" t="s">
        <v>64</v>
      </c>
      <c r="F3" s="42" t="s">
        <v>95</v>
      </c>
    </row>
    <row r="4" spans="2:6" x14ac:dyDescent="0.45">
      <c r="E4" s="26" t="s">
        <v>73</v>
      </c>
      <c r="F4" s="1" t="s">
        <v>93</v>
      </c>
    </row>
    <row r="5" spans="2:6" x14ac:dyDescent="0.45">
      <c r="B5" s="42" t="s">
        <v>95</v>
      </c>
      <c r="E5" s="5" t="s">
        <v>82</v>
      </c>
      <c r="F5" s="1" t="s">
        <v>92</v>
      </c>
    </row>
    <row r="6" spans="2:6" x14ac:dyDescent="0.45">
      <c r="B6" s="1" t="s">
        <v>92</v>
      </c>
      <c r="E6" s="26" t="s">
        <v>84</v>
      </c>
      <c r="F6" s="1" t="s">
        <v>92</v>
      </c>
    </row>
    <row r="7" spans="2:6" x14ac:dyDescent="0.45">
      <c r="B7" s="1" t="s">
        <v>93</v>
      </c>
      <c r="E7" s="26" t="s">
        <v>76</v>
      </c>
      <c r="F7" s="1" t="s">
        <v>92</v>
      </c>
    </row>
    <row r="8" spans="2:6" x14ac:dyDescent="0.45">
      <c r="B8" s="1" t="s">
        <v>94</v>
      </c>
      <c r="E8" s="5" t="s">
        <v>86</v>
      </c>
      <c r="F8" s="1" t="s">
        <v>93</v>
      </c>
    </row>
    <row r="9" spans="2:6" x14ac:dyDescent="0.45">
      <c r="E9" s="26" t="s">
        <v>83</v>
      </c>
      <c r="F9" s="1" t="s">
        <v>93</v>
      </c>
    </row>
    <row r="10" spans="2:6" x14ac:dyDescent="0.45">
      <c r="E10" s="5" t="s">
        <v>78</v>
      </c>
      <c r="F10" s="1" t="s">
        <v>92</v>
      </c>
    </row>
  </sheetData>
  <dataValidations count="1">
    <dataValidation type="list" allowBlank="1" showInputMessage="1" showErrorMessage="1" sqref="F4:F10">
      <formula1>$B$6:$B$8</formula1>
    </dataValidation>
  </dataValidations>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activeCell="G17" sqref="G17"/>
    </sheetView>
  </sheetViews>
  <sheetFormatPr defaultRowHeight="18.5" x14ac:dyDescent="0.45"/>
  <cols>
    <col min="1" max="2" width="24.7265625" style="1" bestFit="1" customWidth="1"/>
    <col min="3" max="16384" width="8.7265625" style="1"/>
  </cols>
  <sheetData>
    <row r="1" spans="1:2" x14ac:dyDescent="0.45">
      <c r="A1" s="44" t="s">
        <v>72</v>
      </c>
      <c r="B1" s="44" t="s">
        <v>112</v>
      </c>
    </row>
    <row r="2" spans="1:2" x14ac:dyDescent="0.45">
      <c r="A2" s="43" t="s">
        <v>96</v>
      </c>
      <c r="B2" s="46" t="s">
        <v>73</v>
      </c>
    </row>
    <row r="3" spans="1:2" x14ac:dyDescent="0.45">
      <c r="A3" s="43" t="s">
        <v>97</v>
      </c>
      <c r="B3" s="43" t="s">
        <v>82</v>
      </c>
    </row>
    <row r="4" spans="1:2" x14ac:dyDescent="0.45">
      <c r="A4" s="43" t="s">
        <v>110</v>
      </c>
      <c r="B4" s="43" t="s">
        <v>111</v>
      </c>
    </row>
    <row r="5" spans="1:2" x14ac:dyDescent="0.45">
      <c r="A5" s="43" t="s">
        <v>99</v>
      </c>
      <c r="B5" s="43" t="s">
        <v>87</v>
      </c>
    </row>
    <row r="6" spans="1:2" x14ac:dyDescent="0.45">
      <c r="A6" s="43" t="s">
        <v>100</v>
      </c>
      <c r="B6" s="43" t="s">
        <v>76</v>
      </c>
    </row>
    <row r="7" spans="1:2" x14ac:dyDescent="0.45">
      <c r="A7" s="43" t="s">
        <v>101</v>
      </c>
      <c r="B7" s="43" t="s">
        <v>86</v>
      </c>
    </row>
    <row r="8" spans="1:2" x14ac:dyDescent="0.45">
      <c r="A8" s="43" t="s">
        <v>102</v>
      </c>
      <c r="B8" s="43" t="s">
        <v>83</v>
      </c>
    </row>
    <row r="9" spans="1:2" x14ac:dyDescent="0.45">
      <c r="A9" s="43" t="s">
        <v>103</v>
      </c>
      <c r="B9" s="43" t="s">
        <v>78</v>
      </c>
    </row>
    <row r="10" spans="1:2" x14ac:dyDescent="0.45">
      <c r="A10" s="43" t="s">
        <v>104</v>
      </c>
      <c r="B10" s="43" t="s">
        <v>79</v>
      </c>
    </row>
    <row r="11" spans="1:2" x14ac:dyDescent="0.45">
      <c r="A11" s="43" t="s">
        <v>105</v>
      </c>
      <c r="B11" s="43" t="s">
        <v>88</v>
      </c>
    </row>
    <row r="12" spans="1:2" x14ac:dyDescent="0.45">
      <c r="A12" s="43" t="s">
        <v>106</v>
      </c>
      <c r="B12" s="43" t="s">
        <v>10</v>
      </c>
    </row>
    <row r="13" spans="1:2" x14ac:dyDescent="0.45">
      <c r="A13" s="43" t="s">
        <v>107</v>
      </c>
      <c r="B13" s="43" t="s">
        <v>89</v>
      </c>
    </row>
    <row r="14" spans="1:2" x14ac:dyDescent="0.45">
      <c r="A14" s="43" t="s">
        <v>108</v>
      </c>
      <c r="B14" s="43" t="s">
        <v>91</v>
      </c>
    </row>
    <row r="15" spans="1:2" x14ac:dyDescent="0.45">
      <c r="A15" s="45" t="s">
        <v>109</v>
      </c>
      <c r="B15" s="45" t="s">
        <v>90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activeCell="O10" sqref="O10"/>
    </sheetView>
  </sheetViews>
  <sheetFormatPr defaultRowHeight="14.5" x14ac:dyDescent="0.35"/>
  <cols>
    <col min="1" max="1" width="12.81640625" bestFit="1" customWidth="1"/>
    <col min="2" max="2" width="11.08984375" bestFit="1" customWidth="1"/>
  </cols>
  <sheetData>
    <row r="1" spans="1:2" ht="18.5" x14ac:dyDescent="0.45">
      <c r="A1" s="27" t="s">
        <v>64</v>
      </c>
      <c r="B1" s="28" t="s">
        <v>71</v>
      </c>
    </row>
    <row r="2" spans="1:2" ht="18.5" x14ac:dyDescent="0.45">
      <c r="A2" s="26" t="s">
        <v>73</v>
      </c>
      <c r="B2" s="26">
        <v>99</v>
      </c>
    </row>
    <row r="3" spans="1:2" ht="18.5" x14ac:dyDescent="0.45">
      <c r="A3" s="5" t="s">
        <v>82</v>
      </c>
      <c r="B3" s="5">
        <v>91</v>
      </c>
    </row>
    <row r="4" spans="1:2" ht="18.5" x14ac:dyDescent="0.45">
      <c r="A4" s="26" t="s">
        <v>84</v>
      </c>
      <c r="B4" s="26">
        <v>88</v>
      </c>
    </row>
    <row r="5" spans="1:2" ht="18.5" x14ac:dyDescent="0.45">
      <c r="A5" s="5" t="s">
        <v>87</v>
      </c>
      <c r="B5" s="5">
        <v>79</v>
      </c>
    </row>
    <row r="6" spans="1:2" ht="18.5" x14ac:dyDescent="0.45">
      <c r="A6" s="26" t="s">
        <v>76</v>
      </c>
      <c r="B6" s="26">
        <v>96</v>
      </c>
    </row>
    <row r="7" spans="1:2" ht="18.5" x14ac:dyDescent="0.45">
      <c r="A7" s="5" t="s">
        <v>86</v>
      </c>
      <c r="B7" s="5">
        <v>80</v>
      </c>
    </row>
    <row r="8" spans="1:2" ht="18.5" x14ac:dyDescent="0.45">
      <c r="A8" s="26" t="s">
        <v>83</v>
      </c>
      <c r="B8" s="26">
        <v>89</v>
      </c>
    </row>
    <row r="9" spans="1:2" ht="18.5" x14ac:dyDescent="0.45">
      <c r="A9" s="5" t="s">
        <v>78</v>
      </c>
      <c r="B9" s="5">
        <v>96</v>
      </c>
    </row>
    <row r="10" spans="1:2" ht="18.5" x14ac:dyDescent="0.45">
      <c r="A10" s="26" t="s">
        <v>79</v>
      </c>
      <c r="B10" s="26">
        <v>92</v>
      </c>
    </row>
    <row r="11" spans="1:2" ht="18.5" x14ac:dyDescent="0.45">
      <c r="A11" s="5" t="s">
        <v>88</v>
      </c>
      <c r="B11" s="5">
        <v>89</v>
      </c>
    </row>
    <row r="12" spans="1:2" ht="18.5" x14ac:dyDescent="0.45">
      <c r="A12" s="26" t="s">
        <v>10</v>
      </c>
      <c r="B12" s="26">
        <v>77</v>
      </c>
    </row>
    <row r="13" spans="1:2" ht="18.5" x14ac:dyDescent="0.45">
      <c r="A13" s="5" t="s">
        <v>89</v>
      </c>
      <c r="B13" s="5">
        <v>87</v>
      </c>
    </row>
    <row r="14" spans="1:2" ht="18.5" x14ac:dyDescent="0.45">
      <c r="A14" s="26" t="s">
        <v>91</v>
      </c>
      <c r="B14" s="26">
        <v>85</v>
      </c>
    </row>
    <row r="15" spans="1:2" ht="18.5" x14ac:dyDescent="0.45">
      <c r="A15" s="5" t="s">
        <v>90</v>
      </c>
      <c r="B15" s="5">
        <v>98</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17"/>
  <sheetViews>
    <sheetView topLeftCell="A2" zoomScale="90" zoomScaleNormal="90" workbookViewId="0">
      <selection activeCell="H21" sqref="H21"/>
    </sheetView>
  </sheetViews>
  <sheetFormatPr defaultRowHeight="18.5" x14ac:dyDescent="0.45"/>
  <cols>
    <col min="1" max="1" width="12.81640625" style="1" bestFit="1" customWidth="1"/>
    <col min="2" max="4" width="8.7265625" style="1"/>
    <col min="5" max="5" width="9" style="1" bestFit="1" customWidth="1"/>
    <col min="6" max="7" width="12.36328125" style="1" bestFit="1" customWidth="1"/>
    <col min="8" max="8" width="11.08984375" style="1" bestFit="1" customWidth="1"/>
    <col min="9" max="9" width="24.7265625" style="1" bestFit="1" customWidth="1"/>
    <col min="10" max="10" width="8.7265625" style="1"/>
    <col min="11" max="11" width="12.81640625" style="1" bestFit="1" customWidth="1"/>
    <col min="12" max="12" width="12.7265625" style="1" customWidth="1"/>
    <col min="13" max="16384" width="8.7265625" style="1"/>
  </cols>
  <sheetData>
    <row r="2" spans="1:12" x14ac:dyDescent="0.45">
      <c r="A2" s="42" t="s">
        <v>113</v>
      </c>
    </row>
    <row r="3" spans="1:12" x14ac:dyDescent="0.45">
      <c r="A3" s="35" t="s">
        <v>64</v>
      </c>
      <c r="B3" s="13" t="s">
        <v>65</v>
      </c>
      <c r="C3" s="13" t="s">
        <v>66</v>
      </c>
      <c r="D3" s="13" t="s">
        <v>67</v>
      </c>
      <c r="E3" s="14" t="s">
        <v>68</v>
      </c>
      <c r="F3" s="13" t="s">
        <v>69</v>
      </c>
      <c r="G3" s="14" t="s">
        <v>70</v>
      </c>
      <c r="H3" s="14" t="s">
        <v>71</v>
      </c>
      <c r="I3" s="15" t="s">
        <v>72</v>
      </c>
      <c r="K3" s="35" t="s">
        <v>64</v>
      </c>
      <c r="L3" s="15" t="s">
        <v>71</v>
      </c>
    </row>
    <row r="4" spans="1:12" x14ac:dyDescent="0.45">
      <c r="A4" s="47" t="s">
        <v>73</v>
      </c>
      <c r="B4" s="5" t="s">
        <v>74</v>
      </c>
      <c r="C4" s="5">
        <v>16</v>
      </c>
      <c r="D4" s="5">
        <v>10</v>
      </c>
      <c r="E4" s="6" t="s">
        <v>75</v>
      </c>
      <c r="F4" s="5">
        <v>84</v>
      </c>
      <c r="G4" s="5">
        <v>79</v>
      </c>
      <c r="H4" s="5">
        <v>90</v>
      </c>
      <c r="I4" s="16" t="str">
        <f>CONCATENATE(A4, "@mail.com")</f>
        <v>Abhimanyu@mail.com</v>
      </c>
      <c r="K4" s="47" t="s">
        <v>90</v>
      </c>
      <c r="L4" s="49">
        <v>97</v>
      </c>
    </row>
    <row r="5" spans="1:12" x14ac:dyDescent="0.45">
      <c r="A5" s="47" t="s">
        <v>82</v>
      </c>
      <c r="B5" s="5" t="s">
        <v>74</v>
      </c>
      <c r="C5" s="5">
        <v>11</v>
      </c>
      <c r="D5" s="5">
        <v>5</v>
      </c>
      <c r="E5" s="6" t="s">
        <v>81</v>
      </c>
      <c r="F5" s="5">
        <v>82</v>
      </c>
      <c r="G5" s="5">
        <v>83</v>
      </c>
      <c r="H5" s="5">
        <v>91</v>
      </c>
      <c r="I5" s="16" t="str">
        <f>CONCATENATE(A5, "@mail.com")</f>
        <v>Arjun@mail.com</v>
      </c>
      <c r="K5" s="47" t="s">
        <v>76</v>
      </c>
      <c r="L5" s="49">
        <v>96</v>
      </c>
    </row>
    <row r="6" spans="1:12" x14ac:dyDescent="0.45">
      <c r="A6" s="47" t="s">
        <v>84</v>
      </c>
      <c r="B6" s="5" t="s">
        <v>80</v>
      </c>
      <c r="C6" s="5">
        <v>15</v>
      </c>
      <c r="D6" s="5">
        <v>8</v>
      </c>
      <c r="E6" s="6" t="s">
        <v>85</v>
      </c>
      <c r="F6" s="5">
        <v>81</v>
      </c>
      <c r="G6" s="5">
        <v>78</v>
      </c>
      <c r="H6" s="5">
        <v>88</v>
      </c>
      <c r="I6" s="16" t="str">
        <f>CONCATENATE(A6, "@mail.com")</f>
        <v>Champa @mail.com</v>
      </c>
      <c r="K6" s="47" t="s">
        <v>88</v>
      </c>
      <c r="L6" s="49">
        <v>89</v>
      </c>
    </row>
    <row r="7" spans="1:12" x14ac:dyDescent="0.45">
      <c r="A7" s="47" t="s">
        <v>87</v>
      </c>
      <c r="B7" s="5" t="s">
        <v>74</v>
      </c>
      <c r="C7" s="5">
        <v>14</v>
      </c>
      <c r="D7" s="5">
        <v>8</v>
      </c>
      <c r="E7" s="6" t="s">
        <v>75</v>
      </c>
      <c r="F7" s="5">
        <v>70</v>
      </c>
      <c r="G7" s="5">
        <v>75</v>
      </c>
      <c r="H7" s="5">
        <v>79</v>
      </c>
      <c r="I7" s="16" t="str">
        <f>CONCATENATE(A7, "@mail.com")</f>
        <v>Gopal@mail.com</v>
      </c>
      <c r="K7" s="47" t="s">
        <v>86</v>
      </c>
      <c r="L7" s="49">
        <v>80</v>
      </c>
    </row>
    <row r="8" spans="1:12" x14ac:dyDescent="0.45">
      <c r="A8" s="47" t="s">
        <v>76</v>
      </c>
      <c r="B8" s="5" t="s">
        <v>80</v>
      </c>
      <c r="C8" s="5">
        <v>16</v>
      </c>
      <c r="D8" s="5">
        <v>10</v>
      </c>
      <c r="E8" s="6" t="s">
        <v>77</v>
      </c>
      <c r="F8" s="5">
        <v>88</v>
      </c>
      <c r="G8" s="5">
        <v>92</v>
      </c>
      <c r="H8" s="5">
        <v>96</v>
      </c>
      <c r="I8" s="16" t="str">
        <f>CONCATENATE(A8, "@mail.com")</f>
        <v>Gopi@mail.com</v>
      </c>
      <c r="K8" s="50" t="s">
        <v>73</v>
      </c>
      <c r="L8" s="49">
        <v>90</v>
      </c>
    </row>
    <row r="9" spans="1:12" x14ac:dyDescent="0.45">
      <c r="A9" s="47" t="s">
        <v>86</v>
      </c>
      <c r="B9" s="5" t="s">
        <v>74</v>
      </c>
      <c r="C9" s="5">
        <v>16</v>
      </c>
      <c r="D9" s="5">
        <v>10</v>
      </c>
      <c r="E9" s="6" t="s">
        <v>75</v>
      </c>
      <c r="F9" s="5">
        <v>82</v>
      </c>
      <c r="G9" s="5">
        <v>81</v>
      </c>
      <c r="H9" s="5">
        <v>80</v>
      </c>
      <c r="I9" s="16" t="str">
        <f>CONCATENATE(A9, "@mail.com")</f>
        <v>Hari@mail.com</v>
      </c>
      <c r="K9" s="48" t="s">
        <v>89</v>
      </c>
      <c r="L9" s="52">
        <v>87</v>
      </c>
    </row>
    <row r="10" spans="1:12" x14ac:dyDescent="0.45">
      <c r="A10" s="47" t="s">
        <v>83</v>
      </c>
      <c r="B10" s="5" t="s">
        <v>80</v>
      </c>
      <c r="C10" s="5">
        <v>14</v>
      </c>
      <c r="D10" s="5">
        <v>8</v>
      </c>
      <c r="E10" s="6" t="s">
        <v>81</v>
      </c>
      <c r="F10" s="5">
        <v>90</v>
      </c>
      <c r="G10" s="5">
        <v>86</v>
      </c>
      <c r="H10" s="5">
        <v>89</v>
      </c>
      <c r="I10" s="16" t="str">
        <f>CONCATENATE(A10, "@mail.com")</f>
        <v>Indu@mail.com</v>
      </c>
      <c r="K10" s="48"/>
      <c r="L10" s="52"/>
    </row>
    <row r="11" spans="1:12" x14ac:dyDescent="0.45">
      <c r="A11" s="47" t="s">
        <v>78</v>
      </c>
      <c r="B11" s="5" t="s">
        <v>74</v>
      </c>
      <c r="C11" s="5">
        <v>15</v>
      </c>
      <c r="D11" s="5">
        <v>9</v>
      </c>
      <c r="E11" s="6" t="s">
        <v>77</v>
      </c>
      <c r="F11" s="5">
        <v>87</v>
      </c>
      <c r="G11" s="5">
        <v>89</v>
      </c>
      <c r="H11" s="5">
        <v>96</v>
      </c>
      <c r="I11" s="16" t="str">
        <f>CONCATENATE(A11, "@mail.com")</f>
        <v>Keshav@mail.com</v>
      </c>
    </row>
    <row r="12" spans="1:12" x14ac:dyDescent="0.45">
      <c r="A12" s="47" t="s">
        <v>79</v>
      </c>
      <c r="B12" s="5" t="s">
        <v>80</v>
      </c>
      <c r="C12" s="5">
        <v>17</v>
      </c>
      <c r="D12" s="5">
        <v>10</v>
      </c>
      <c r="E12" s="6" t="s">
        <v>81</v>
      </c>
      <c r="F12" s="5">
        <v>70</v>
      </c>
      <c r="G12" s="5">
        <v>90</v>
      </c>
      <c r="H12" s="5">
        <v>92</v>
      </c>
      <c r="I12" s="16" t="str">
        <f>CONCATENATE(A12, "@mail.com")</f>
        <v>Lalita@mail.com</v>
      </c>
    </row>
    <row r="13" spans="1:12" x14ac:dyDescent="0.45">
      <c r="A13" s="47" t="s">
        <v>88</v>
      </c>
      <c r="B13" s="5" t="s">
        <v>74</v>
      </c>
      <c r="C13" s="5">
        <v>12</v>
      </c>
      <c r="D13" s="5">
        <v>7</v>
      </c>
      <c r="E13" s="6" t="s">
        <v>85</v>
      </c>
      <c r="F13" s="5">
        <v>86</v>
      </c>
      <c r="G13" s="5">
        <v>92</v>
      </c>
      <c r="H13" s="5">
        <v>89</v>
      </c>
      <c r="I13" s="16" t="str">
        <f>CONCATENATE(A13, "@mail.com")</f>
        <v>Madhav@mail.com</v>
      </c>
    </row>
    <row r="14" spans="1:12" x14ac:dyDescent="0.45">
      <c r="A14" s="47" t="s">
        <v>86</v>
      </c>
      <c r="B14" s="5" t="s">
        <v>74</v>
      </c>
      <c r="C14" s="5">
        <v>16</v>
      </c>
      <c r="D14" s="5">
        <v>10</v>
      </c>
      <c r="E14" s="6" t="s">
        <v>77</v>
      </c>
      <c r="F14" s="5">
        <v>86</v>
      </c>
      <c r="G14" s="5">
        <v>81</v>
      </c>
      <c r="H14" s="5">
        <v>77</v>
      </c>
      <c r="I14" s="16" t="str">
        <f t="shared" ref="I14" si="0">CONCATENATE(A14, "@mail.com")</f>
        <v>Hari@mail.com</v>
      </c>
    </row>
    <row r="15" spans="1:12" x14ac:dyDescent="0.45">
      <c r="A15" s="47" t="s">
        <v>89</v>
      </c>
      <c r="B15" s="5" t="s">
        <v>80</v>
      </c>
      <c r="C15" s="5">
        <v>16</v>
      </c>
      <c r="D15" s="5">
        <v>10</v>
      </c>
      <c r="E15" s="6" t="s">
        <v>85</v>
      </c>
      <c r="F15" s="5">
        <v>81</v>
      </c>
      <c r="G15" s="5">
        <v>80</v>
      </c>
      <c r="H15" s="5">
        <v>87</v>
      </c>
      <c r="I15" s="16" t="str">
        <f>CONCATENATE(A15, "@mail.com")</f>
        <v>Sudevi@mail.com</v>
      </c>
    </row>
    <row r="16" spans="1:12" x14ac:dyDescent="0.45">
      <c r="A16" s="47" t="s">
        <v>91</v>
      </c>
      <c r="B16" s="5" t="s">
        <v>80</v>
      </c>
      <c r="C16" s="5">
        <v>16</v>
      </c>
      <c r="D16" s="5">
        <v>10</v>
      </c>
      <c r="E16" s="6" t="s">
        <v>75</v>
      </c>
      <c r="F16" s="5">
        <v>70</v>
      </c>
      <c r="G16" s="5">
        <v>87</v>
      </c>
      <c r="H16" s="5">
        <v>85</v>
      </c>
      <c r="I16" s="16" t="str">
        <f>CONCATENATE(A16, "@mail.com")</f>
        <v>Visakha@mail.com</v>
      </c>
    </row>
    <row r="17" spans="1:9" x14ac:dyDescent="0.45">
      <c r="A17" s="48" t="s">
        <v>90</v>
      </c>
      <c r="B17" s="17" t="s">
        <v>74</v>
      </c>
      <c r="C17" s="17">
        <v>14</v>
      </c>
      <c r="D17" s="17">
        <v>8</v>
      </c>
      <c r="E17" s="18" t="s">
        <v>77</v>
      </c>
      <c r="F17" s="17">
        <v>91</v>
      </c>
      <c r="G17" s="17">
        <v>96</v>
      </c>
      <c r="H17" s="17">
        <v>97</v>
      </c>
      <c r="I17" s="19" t="str">
        <f>CONCATENATE(A17, "@mail.com")</f>
        <v>Vrinda@mail.com</v>
      </c>
    </row>
  </sheetData>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1"/>
  <sheetViews>
    <sheetView tabSelected="1" workbookViewId="0">
      <selection activeCell="J13" sqref="J13"/>
    </sheetView>
  </sheetViews>
  <sheetFormatPr defaultRowHeight="14.5" x14ac:dyDescent="0.35"/>
  <cols>
    <col min="1" max="1" width="10.7265625" customWidth="1"/>
    <col min="2" max="2" width="9.7265625" bestFit="1" customWidth="1"/>
    <col min="3" max="3" width="15.08984375" bestFit="1" customWidth="1"/>
    <col min="4" max="4" width="10.6328125" bestFit="1" customWidth="1"/>
  </cols>
  <sheetData>
    <row r="3" spans="1:3" x14ac:dyDescent="0.35">
      <c r="A3" s="58" t="s">
        <v>68</v>
      </c>
      <c r="B3" s="58" t="s">
        <v>65</v>
      </c>
      <c r="C3" t="s">
        <v>115</v>
      </c>
    </row>
    <row r="4" spans="1:3" x14ac:dyDescent="0.35">
      <c r="A4" t="s">
        <v>77</v>
      </c>
      <c r="B4" t="s">
        <v>80</v>
      </c>
      <c r="C4" s="59">
        <v>96</v>
      </c>
    </row>
    <row r="5" spans="1:3" x14ac:dyDescent="0.35">
      <c r="B5" t="s">
        <v>74</v>
      </c>
      <c r="C5" s="59">
        <v>271</v>
      </c>
    </row>
    <row r="6" spans="1:3" x14ac:dyDescent="0.35">
      <c r="A6" t="s">
        <v>75</v>
      </c>
      <c r="B6" t="s">
        <v>80</v>
      </c>
      <c r="C6" s="59">
        <v>85</v>
      </c>
    </row>
    <row r="7" spans="1:3" x14ac:dyDescent="0.35">
      <c r="B7" t="s">
        <v>74</v>
      </c>
      <c r="C7" s="59">
        <v>268</v>
      </c>
    </row>
    <row r="8" spans="1:3" x14ac:dyDescent="0.35">
      <c r="A8" t="s">
        <v>85</v>
      </c>
      <c r="B8" t="s">
        <v>80</v>
      </c>
      <c r="C8" s="59">
        <v>175</v>
      </c>
    </row>
    <row r="9" spans="1:3" x14ac:dyDescent="0.35">
      <c r="B9" t="s">
        <v>74</v>
      </c>
      <c r="C9" s="59">
        <v>89</v>
      </c>
    </row>
    <row r="10" spans="1:3" x14ac:dyDescent="0.35">
      <c r="A10" t="s">
        <v>81</v>
      </c>
      <c r="B10" t="s">
        <v>80</v>
      </c>
      <c r="C10" s="59">
        <v>181</v>
      </c>
    </row>
    <row r="11" spans="1:3" x14ac:dyDescent="0.35">
      <c r="B11" t="s">
        <v>74</v>
      </c>
      <c r="C11" s="59">
        <v>91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zoomScale="80" zoomScaleNormal="80" workbookViewId="0">
      <selection activeCell="L6" sqref="L6"/>
    </sheetView>
  </sheetViews>
  <sheetFormatPr defaultRowHeight="18.5" x14ac:dyDescent="0.45"/>
  <cols>
    <col min="1" max="1" width="12.81640625" style="1" bestFit="1" customWidth="1"/>
    <col min="2" max="2" width="11.1796875" style="1" customWidth="1"/>
    <col min="3" max="4" width="8.7265625" style="1"/>
    <col min="5" max="5" width="10" style="1" customWidth="1"/>
    <col min="6" max="7" width="14.1796875" style="1" customWidth="1"/>
    <col min="8" max="8" width="12.90625" style="1" customWidth="1"/>
    <col min="9" max="9" width="24.7265625" style="1" bestFit="1" customWidth="1"/>
    <col min="10" max="10" width="13.26953125" style="1" bestFit="1" customWidth="1"/>
    <col min="11" max="11" width="7.90625" style="1" customWidth="1"/>
    <col min="12" max="16384" width="8.7265625" style="1"/>
  </cols>
  <sheetData>
    <row r="1" spans="1:10" x14ac:dyDescent="0.45">
      <c r="A1" s="42" t="s">
        <v>114</v>
      </c>
    </row>
    <row r="3" spans="1:10" x14ac:dyDescent="0.45">
      <c r="A3" s="54" t="s">
        <v>64</v>
      </c>
      <c r="B3" s="55" t="s">
        <v>65</v>
      </c>
      <c r="C3" s="55" t="s">
        <v>66</v>
      </c>
      <c r="D3" s="55" t="s">
        <v>67</v>
      </c>
      <c r="E3" s="55" t="s">
        <v>68</v>
      </c>
      <c r="F3" s="55" t="s">
        <v>69</v>
      </c>
      <c r="G3" s="55" t="s">
        <v>70</v>
      </c>
      <c r="H3" s="55" t="s">
        <v>71</v>
      </c>
      <c r="I3" s="56" t="s">
        <v>72</v>
      </c>
      <c r="J3" s="55" t="s">
        <v>116</v>
      </c>
    </row>
    <row r="4" spans="1:10" x14ac:dyDescent="0.45">
      <c r="A4" s="53" t="s">
        <v>73</v>
      </c>
      <c r="B4" s="6" t="s">
        <v>74</v>
      </c>
      <c r="C4" s="6">
        <v>16</v>
      </c>
      <c r="D4" s="6">
        <v>10</v>
      </c>
      <c r="E4" s="6" t="s">
        <v>75</v>
      </c>
      <c r="F4" s="6">
        <v>84</v>
      </c>
      <c r="G4" s="6">
        <v>79</v>
      </c>
      <c r="H4" s="6">
        <v>99</v>
      </c>
      <c r="I4" s="49" t="s">
        <v>96</v>
      </c>
      <c r="J4" s="60"/>
    </row>
    <row r="5" spans="1:10" x14ac:dyDescent="0.45">
      <c r="A5" s="53" t="s">
        <v>82</v>
      </c>
      <c r="B5" s="6" t="s">
        <v>74</v>
      </c>
      <c r="C5" s="6">
        <v>11</v>
      </c>
      <c r="D5" s="6">
        <v>5</v>
      </c>
      <c r="E5" s="6" t="s">
        <v>81</v>
      </c>
      <c r="F5" s="6">
        <v>82</v>
      </c>
      <c r="G5" s="6">
        <v>83</v>
      </c>
      <c r="H5" s="6">
        <v>91</v>
      </c>
      <c r="I5" s="49" t="s">
        <v>97</v>
      </c>
      <c r="J5" s="6"/>
    </row>
    <row r="6" spans="1:10" x14ac:dyDescent="0.45">
      <c r="A6" s="53" t="s">
        <v>84</v>
      </c>
      <c r="B6" s="6" t="s">
        <v>80</v>
      </c>
      <c r="C6" s="6">
        <v>15</v>
      </c>
      <c r="D6" s="6">
        <v>8</v>
      </c>
      <c r="E6" s="6" t="s">
        <v>85</v>
      </c>
      <c r="F6" s="6">
        <v>81</v>
      </c>
      <c r="G6" s="6">
        <v>78</v>
      </c>
      <c r="H6" s="6">
        <v>88</v>
      </c>
      <c r="I6" s="49" t="s">
        <v>98</v>
      </c>
      <c r="J6" s="6"/>
    </row>
    <row r="7" spans="1:10" x14ac:dyDescent="0.45">
      <c r="A7" s="53" t="s">
        <v>87</v>
      </c>
      <c r="B7" s="6" t="s">
        <v>74</v>
      </c>
      <c r="C7" s="6">
        <v>14</v>
      </c>
      <c r="D7" s="6">
        <v>8</v>
      </c>
      <c r="E7" s="6" t="s">
        <v>75</v>
      </c>
      <c r="F7" s="6">
        <v>70</v>
      </c>
      <c r="G7" s="6">
        <v>75</v>
      </c>
      <c r="H7" s="6">
        <v>89</v>
      </c>
      <c r="I7" s="49" t="s">
        <v>99</v>
      </c>
      <c r="J7" s="6"/>
    </row>
    <row r="8" spans="1:10" x14ac:dyDescent="0.45">
      <c r="A8" s="53" t="s">
        <v>76</v>
      </c>
      <c r="B8" s="6" t="s">
        <v>80</v>
      </c>
      <c r="C8" s="6">
        <v>16</v>
      </c>
      <c r="D8" s="6">
        <v>10</v>
      </c>
      <c r="E8" s="6" t="s">
        <v>77</v>
      </c>
      <c r="F8" s="6">
        <v>88</v>
      </c>
      <c r="G8" s="6">
        <v>92</v>
      </c>
      <c r="H8" s="6">
        <v>96</v>
      </c>
      <c r="I8" s="49" t="s">
        <v>100</v>
      </c>
      <c r="J8" s="6"/>
    </row>
    <row r="9" spans="1:10" x14ac:dyDescent="0.45">
      <c r="A9" s="53" t="s">
        <v>86</v>
      </c>
      <c r="B9" s="6" t="s">
        <v>74</v>
      </c>
      <c r="C9" s="6">
        <v>16</v>
      </c>
      <c r="D9" s="6">
        <v>10</v>
      </c>
      <c r="E9" s="6" t="s">
        <v>75</v>
      </c>
      <c r="F9" s="6">
        <v>82</v>
      </c>
      <c r="G9" s="6">
        <v>81</v>
      </c>
      <c r="H9" s="6">
        <v>80</v>
      </c>
      <c r="I9" s="49" t="s">
        <v>101</v>
      </c>
      <c r="J9" s="6"/>
    </row>
    <row r="10" spans="1:10" x14ac:dyDescent="0.45">
      <c r="A10" s="53" t="s">
        <v>83</v>
      </c>
      <c r="B10" s="6" t="s">
        <v>80</v>
      </c>
      <c r="C10" s="6">
        <v>14</v>
      </c>
      <c r="D10" s="6">
        <v>8</v>
      </c>
      <c r="E10" s="6" t="s">
        <v>81</v>
      </c>
      <c r="F10" s="6">
        <v>90</v>
      </c>
      <c r="G10" s="6">
        <v>86</v>
      </c>
      <c r="H10" s="6">
        <v>89</v>
      </c>
      <c r="I10" s="49" t="s">
        <v>102</v>
      </c>
      <c r="J10" s="6"/>
    </row>
    <row r="11" spans="1:10" x14ac:dyDescent="0.45">
      <c r="A11" s="53" t="s">
        <v>78</v>
      </c>
      <c r="B11" s="6" t="s">
        <v>74</v>
      </c>
      <c r="C11" s="6">
        <v>15</v>
      </c>
      <c r="D11" s="6">
        <v>9</v>
      </c>
      <c r="E11" s="6" t="s">
        <v>77</v>
      </c>
      <c r="F11" s="6">
        <v>87</v>
      </c>
      <c r="G11" s="6">
        <v>89</v>
      </c>
      <c r="H11" s="6">
        <v>96</v>
      </c>
      <c r="I11" s="49" t="s">
        <v>103</v>
      </c>
      <c r="J11" s="6"/>
    </row>
    <row r="12" spans="1:10" x14ac:dyDescent="0.45">
      <c r="A12" s="53" t="s">
        <v>79</v>
      </c>
      <c r="B12" s="6" t="s">
        <v>80</v>
      </c>
      <c r="C12" s="6">
        <v>17</v>
      </c>
      <c r="D12" s="6">
        <v>10</v>
      </c>
      <c r="E12" s="6" t="s">
        <v>81</v>
      </c>
      <c r="F12" s="6">
        <v>70</v>
      </c>
      <c r="G12" s="6">
        <v>90</v>
      </c>
      <c r="H12" s="6">
        <v>92</v>
      </c>
      <c r="I12" s="49" t="s">
        <v>104</v>
      </c>
      <c r="J12" s="6"/>
    </row>
    <row r="13" spans="1:10" x14ac:dyDescent="0.45">
      <c r="A13" s="53" t="s">
        <v>88</v>
      </c>
      <c r="B13" s="6" t="s">
        <v>74</v>
      </c>
      <c r="C13" s="6">
        <v>12</v>
      </c>
      <c r="D13" s="6">
        <v>7</v>
      </c>
      <c r="E13" s="6" t="s">
        <v>85</v>
      </c>
      <c r="F13" s="6">
        <v>86</v>
      </c>
      <c r="G13" s="6">
        <v>92</v>
      </c>
      <c r="H13" s="6">
        <v>89</v>
      </c>
      <c r="I13" s="49" t="s">
        <v>105</v>
      </c>
      <c r="J13" s="6"/>
    </row>
    <row r="14" spans="1:10" x14ac:dyDescent="0.45">
      <c r="A14" s="53" t="s">
        <v>10</v>
      </c>
      <c r="B14" s="6" t="s">
        <v>74</v>
      </c>
      <c r="C14" s="6">
        <v>16</v>
      </c>
      <c r="D14" s="6">
        <v>10</v>
      </c>
      <c r="E14" s="6" t="s">
        <v>77</v>
      </c>
      <c r="F14" s="6">
        <v>86</v>
      </c>
      <c r="G14" s="6">
        <v>81</v>
      </c>
      <c r="H14" s="6">
        <v>77</v>
      </c>
      <c r="I14" s="49" t="s">
        <v>106</v>
      </c>
      <c r="J14" s="6"/>
    </row>
    <row r="15" spans="1:10" x14ac:dyDescent="0.45">
      <c r="A15" s="53" t="s">
        <v>89</v>
      </c>
      <c r="B15" s="6" t="s">
        <v>80</v>
      </c>
      <c r="C15" s="6">
        <v>16</v>
      </c>
      <c r="D15" s="6">
        <v>10</v>
      </c>
      <c r="E15" s="6" t="s">
        <v>85</v>
      </c>
      <c r="F15" s="6">
        <v>81</v>
      </c>
      <c r="G15" s="6">
        <v>80</v>
      </c>
      <c r="H15" s="6">
        <v>87</v>
      </c>
      <c r="I15" s="49" t="s">
        <v>107</v>
      </c>
      <c r="J15" s="6"/>
    </row>
    <row r="16" spans="1:10" x14ac:dyDescent="0.45">
      <c r="A16" s="53" t="s">
        <v>91</v>
      </c>
      <c r="B16" s="6" t="s">
        <v>80</v>
      </c>
      <c r="C16" s="6">
        <v>16</v>
      </c>
      <c r="D16" s="6">
        <v>10</v>
      </c>
      <c r="E16" s="6" t="s">
        <v>75</v>
      </c>
      <c r="F16" s="6">
        <v>70</v>
      </c>
      <c r="G16" s="6">
        <v>87</v>
      </c>
      <c r="H16" s="6">
        <v>85</v>
      </c>
      <c r="I16" s="49" t="s">
        <v>108</v>
      </c>
      <c r="J16" s="6"/>
    </row>
    <row r="17" spans="1:10" x14ac:dyDescent="0.45">
      <c r="A17" s="57" t="s">
        <v>90</v>
      </c>
      <c r="B17" s="18" t="s">
        <v>74</v>
      </c>
      <c r="C17" s="18">
        <v>14</v>
      </c>
      <c r="D17" s="18">
        <v>8</v>
      </c>
      <c r="E17" s="18" t="s">
        <v>77</v>
      </c>
      <c r="F17" s="18">
        <v>91</v>
      </c>
      <c r="G17" s="18">
        <v>96</v>
      </c>
      <c r="H17" s="18">
        <v>98</v>
      </c>
      <c r="I17" s="51" t="s">
        <v>109</v>
      </c>
      <c r="J17" s="18"/>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Sheet2</vt:lpstr>
      <vt:lpstr>Sheet3</vt:lpstr>
      <vt:lpstr>RNM_School_Data</vt:lpstr>
      <vt:lpstr>RNM_school</vt:lpstr>
      <vt:lpstr>Names</vt:lpstr>
      <vt:lpstr>dropdown</vt:lpstr>
      <vt:lpstr>split_text</vt:lpstr>
      <vt:lpstr>Charts</vt:lpstr>
      <vt:lpstr>vlookup</vt:lpstr>
      <vt:lpstr>pivot_report</vt:lpstr>
      <vt:lpstr>pivot_table</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RISHAV</dc:creator>
  <cp:lastModifiedBy>RISHAV</cp:lastModifiedBy>
  <cp:lastPrinted>2026-04-06T14:00:43Z</cp:lastPrinted>
  <dcterms:created xsi:type="dcterms:W3CDTF">2026-04-06T08:23:10Z</dcterms:created>
  <dcterms:modified xsi:type="dcterms:W3CDTF">2026-04-08T10:21:55Z</dcterms:modified>
</cp:coreProperties>
</file>